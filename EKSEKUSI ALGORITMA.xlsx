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rules" sheetId="2" r:id="rId6"/>
  </sheets>
  <definedNames/>
  <calcPr/>
</workbook>
</file>

<file path=xl/sharedStrings.xml><?xml version="1.0" encoding="utf-8"?>
<sst xmlns="http://schemas.openxmlformats.org/spreadsheetml/2006/main" count="320" uniqueCount="81">
  <si>
    <t>timestamp</t>
  </si>
  <si>
    <t>Aturan Eksekusi: Perhitungan Manual (Excel) vs Otomatis (Web)</t>
  </si>
  <si>
    <t>segment_id</t>
  </si>
  <si>
    <t>1. Rumpun Algoritma K-Means</t>
  </si>
  <si>
    <t>pressure</t>
  </si>
  <si>
    <t>flow_rate</t>
  </si>
  <si>
    <t>Tahapan Proses</t>
  </si>
  <si>
    <t>temperature</t>
  </si>
  <si>
    <t>Aturan Hitung Manual (Excel)</t>
  </si>
  <si>
    <t>Aturan Otomatis Sistem (Web / analysis.py)</t>
  </si>
  <si>
    <t>pump_speed</t>
  </si>
  <si>
    <t>Inisialisasi Centroid Awal (Iterasi 1)</t>
  </si>
  <si>
    <t>P1</t>
  </si>
  <si>
    <t>Pilihan Acak Baris Nyata: Kamu harus memilih 3 baris data riil dari 15 data hasil normalisasi secara manual (misal: baris 2, 7, dan 12) sebagai nilai awal $C_1, C_2, C_3$. Tidak boleh menebak angka fiktif.</t>
  </si>
  <si>
    <t>Algoritma K-Means++: Sistem memilih titik secara matematis menggunakan probabilitas jarak kuadrat spasial terjauh ($D(x)^2$). Hal ini menjamin letak 3 centroid awal langsung tersebar jauh sejak awal secara objektif tanpa bias manusia.</t>
  </si>
  <si>
    <t>Perhitungan Jarak Geometri</t>
  </si>
  <si>
    <t>F1</t>
  </si>
  <si>
    <t>Rumus Kolom Manual: Menggunakan rumus Excel =SQRT((x1-c1)^2 + (x2-c2)^2 + ...) yang ditarik (drag) ke bawah untuk seluruh 15 baris data pada kolom $C_1, C_2,$ dan $C_3$.</t>
  </si>
  <si>
    <t>Vektorisasi NumPy: Komputer menghitung matriks jarak Euclidean menggunakan fungsi bawaan np.linalg.norm(scaled_data - centers) secara simultan dalam hitungan milidetik di memori RAM.</t>
  </si>
  <si>
    <t>T1</t>
  </si>
  <si>
    <t>Penentuan Klaster Terdekat</t>
  </si>
  <si>
    <t>S1</t>
  </si>
  <si>
    <t>Logika Fungsi IF &amp; MIN: Menggunakan rumus =IF(C1=MIN(C1:C3); "C1"; IF(C2=MIN(C1:C3); "C2"; "C3")) untuk menentukan di klaster mana suatu data berlabuh.</t>
  </si>
  <si>
    <t>Fungsi Argmin: Sistem langsung menggunakan fungsi .fit_predict() yang berbasis operasi np.argmin untuk mengunci indeks klaster terdekat ke dalam array satu dimensi.</t>
  </si>
  <si>
    <t xml:space="preserve">Matriks </t>
  </si>
  <si>
    <t>Kondisi Berhenti (Konvergen)</t>
  </si>
  <si>
    <t>Pengecekan Visual: Kamu harus membandingkan tabel Iterasi saat ini dengan Iterasi sebelumnya secara visual, atau membuat indikator =IF(Klaster_Sekarang=Klaster_Sebelumnya; "Sama"; "Berubah") sampai seluruh baris bernilai "Sama".</t>
  </si>
  <si>
    <t>Iteratif Otomatis: Sistem menjalankan perulangan while di latar belakang. Batasan berhenti diatur secara ketat oleh pustaka scikit-learn ketika pergeseran nilai centroid berada di bawah ambang batas toleransi (tol=1e-4).</t>
  </si>
  <si>
    <t>Pemberian Label Status Akhir</t>
  </si>
  <si>
    <t>Ketik Manual Berbasis Pivot: Kamu membuat tabel ringkasan (Pivot Table) untuk menghitung jumlah anggota masing-masing klaster, lalu mengetik status "Normal", "Warning", atau "Anomali" berdasarkan volume data terbanyak.</t>
  </si>
  <si>
    <t>Logika Counting &amp; Sorting: Sistem otomatis mengurutkan id klaster berdasarkan jumlah anggotanya (sorted_clusters = sorted(cluster_counts, key=..., reverse=True)). Klaster dengan indeks terbanyak langsung diberi string label "normal".</t>
  </si>
  <si>
    <t>2. Rumpun Algoritma DBSCAN</t>
  </si>
  <si>
    <t>Penentuan Parameter Min_Samples</t>
  </si>
  <si>
    <t>Konstanta Statis: Diatur manual pada sel khusus di Excel dengan nilai 5 (berdasarkan aturan baku $D+1$, di mana variabel berjumlah 4).</t>
  </si>
  <si>
    <t>Variabel Terkunci: Nilai diatur langsung di dalam kode program (min_samples = 5) agar tidak bisa diubah-ubah secara tidak sengaja oleh pengguna di antarmuka web.</t>
  </si>
  <si>
    <t>K-Distance Calculation</t>
  </si>
  <si>
    <t>Matriks Jarak Antar-Titik: Kamu harus membuat tabel matriks besar berukuran $15 \times 15$ untuk menghitung jarak setiap data ke seluruh data lainnya, lalu mengurutkan jarak terdekat ke-5 untuk setiap baris data.</t>
  </si>
  <si>
    <t>Struktur Data KD-Tree: Menggunakan fungsi NearestNeighbors(n_neighbors=5).fit(). Sistem menggunakan algoritma pencarian pohon spasial untuk mendeteksi koordinat tetangga terdekat urutan ke-5 dengan sangat cepat.</t>
  </si>
  <si>
    <t>Penentuan Epsilon (Elbow Method)</t>
  </si>
  <si>
    <t>Grafik Garis Manual: Kamu harus memblok kolom jarak ke-5 yang sudah diurutkan, membuat grafik Line Chart, lalu melihat secara visual di mana titik tekukan "siku" kurva berada untuk menentukan nilai Epsilon.</t>
  </si>
  <si>
    <t>Metode Jarak Tegak Lurus Maksimum: Sistem menjalankan fungsi auto_estimate_epsilon(). Fungsi ini menarik garis imajiner dari ujung awal ke ujung akhir kurva, menghitung jarak tegak lurus setiap titik ke garis tersebut, dan mengunci jarak terjauh sebagai nilai Epsilon.</t>
  </si>
  <si>
    <t>Klasifikasi Titik &amp; Deteksi Anomali</t>
  </si>
  <si>
    <t>Logika COUNTIF Manual: Memeriksa satu per satu baris data pada tabel jarak. Jika jumlah data yang jaraknya $\le$ Epsilon berjumlah $\ge$ 5, maka baris tersebut ditandai sebagai data aman. Jika kurang, ditandai sebagai pencilan.</t>
  </si>
  <si>
    <t>Masking Array: Sistem langsung mengeksekusi fungsi .fit_predict(). Data yang tidak memenuhi syarat kerapatan secara otomatis diberikan nilai -1 (Noise). Nilai -1 ini langsung diubah menjadi status "anomali".</t>
  </si>
  <si>
    <t>K-Distance</t>
  </si>
  <si>
    <t>Elbow Method</t>
  </si>
  <si>
    <t>Neighbors (Tetangga)</t>
  </si>
  <si>
    <t>status</t>
  </si>
  <si>
    <t>ket. data asli</t>
  </si>
  <si>
    <t>normal</t>
  </si>
  <si>
    <t>blockage</t>
  </si>
  <si>
    <t>surge</t>
  </si>
  <si>
    <t>leak</t>
  </si>
  <si>
    <t xml:space="preserve"> </t>
  </si>
  <si>
    <t>degradation</t>
  </si>
  <si>
    <t xml:space="preserve">DBSCAN Z-SCORE </t>
  </si>
  <si>
    <t>k-distace</t>
  </si>
  <si>
    <t>K-MEANS Z-SCORE</t>
  </si>
  <si>
    <t>Z1</t>
  </si>
  <si>
    <t>Z2</t>
  </si>
  <si>
    <t>Z3</t>
  </si>
  <si>
    <t>Z4</t>
  </si>
  <si>
    <t>Centroid</t>
  </si>
  <si>
    <t>feature_1</t>
  </si>
  <si>
    <t>feature_2</t>
  </si>
  <si>
    <t>feature_3</t>
  </si>
  <si>
    <t>feature_4</t>
  </si>
  <si>
    <t>C1</t>
  </si>
  <si>
    <t>C2</t>
  </si>
  <si>
    <t>C3</t>
  </si>
  <si>
    <t>Jarak Euclidean</t>
  </si>
  <si>
    <t>Custer</t>
  </si>
  <si>
    <t>Ket</t>
  </si>
  <si>
    <t>K-MEANS Min - Max</t>
  </si>
  <si>
    <t>DB min max</t>
  </si>
  <si>
    <t>DB zscore</t>
  </si>
  <si>
    <t>KM min max</t>
  </si>
  <si>
    <t>KM z-score</t>
  </si>
  <si>
    <t>NORMAL</t>
  </si>
  <si>
    <t>WARNING</t>
  </si>
  <si>
    <t>ANOMALI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</si>
</sst>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u/>
      <sz val="11.0"/>
      <color theme="1"/>
      <name val="Calibri"/>
    </font>
    <font>
      <i/>
      <sz val="11.0"/>
      <color theme="1"/>
      <name val="Calibri"/>
    </font>
    <font>
      <b/>
      <u/>
      <sz val="11.0"/>
      <color theme="1"/>
      <name val="Calibri"/>
    </font>
    <font>
      <b/>
      <sz val="11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333399"/>
        <bgColor rgb="FF3333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2" fontId="3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2" fontId="3" numFmtId="4" xfId="0" applyAlignment="1" applyFont="1" applyNumberFormat="1">
      <alignment horizontal="right" vertical="bottom"/>
    </xf>
    <xf borderId="0" fillId="4" fontId="3" numFmtId="0" xfId="0" applyAlignment="1" applyFill="1" applyFont="1">
      <alignment vertical="bottom"/>
    </xf>
    <xf borderId="1" fillId="0" fontId="3" numFmtId="4" xfId="0" applyAlignment="1" applyBorder="1" applyFont="1" applyNumberFormat="1">
      <alignment vertical="bottom"/>
    </xf>
    <xf borderId="0" fillId="5" fontId="3" numFmtId="0" xfId="0" applyAlignment="1" applyFill="1" applyFont="1">
      <alignment vertical="bottom"/>
    </xf>
    <xf borderId="1" fillId="6" fontId="3" numFmtId="0" xfId="0" applyAlignment="1" applyBorder="1" applyFill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0" fontId="3" numFmtId="4" xfId="0" applyAlignment="1" applyFont="1" applyNumberFormat="1">
      <alignment horizontal="right" shrinkToFit="0" vertical="bottom" wrapText="1"/>
    </xf>
    <xf borderId="1" fillId="4" fontId="3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0" fillId="0" fontId="3" numFmtId="4" xfId="0" applyAlignment="1" applyFont="1" applyNumberFormat="1">
      <alignment horizontal="right" readingOrder="0" shrinkToFit="0" vertical="bottom" wrapText="1"/>
    </xf>
    <xf borderId="1" fillId="5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1" fillId="0" fontId="5" numFmtId="0" xfId="0" applyAlignment="1" applyBorder="1" applyFont="1">
      <alignment horizontal="right" vertical="bottom"/>
    </xf>
    <xf borderId="1" fillId="7" fontId="3" numFmtId="0" xfId="0" applyAlignment="1" applyBorder="1" applyFill="1" applyFont="1">
      <alignment vertical="bottom"/>
    </xf>
    <xf borderId="0" fillId="8" fontId="3" numFmtId="0" xfId="0" applyAlignment="1" applyFill="1" applyFont="1">
      <alignment vertical="bottom"/>
    </xf>
    <xf borderId="0" fillId="8" fontId="2" numFmtId="0" xfId="0" applyFont="1"/>
    <xf borderId="0" fillId="9" fontId="3" numFmtId="0" xfId="0" applyAlignment="1" applyFill="1" applyFont="1">
      <alignment vertical="bottom"/>
    </xf>
    <xf borderId="1" fillId="0" fontId="6" numFmtId="0" xfId="0" applyAlignment="1" applyBorder="1" applyFont="1">
      <alignment horizontal="right" vertical="bottom"/>
    </xf>
    <xf borderId="0" fillId="8" fontId="3" numFmtId="4" xfId="0" applyAlignment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1" fillId="10" fontId="7" numFmtId="0" xfId="0" applyAlignment="1" applyBorder="1" applyFill="1" applyFont="1">
      <alignment vertical="bottom"/>
    </xf>
    <xf borderId="2" fillId="10" fontId="7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" fillId="0" fontId="1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9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2.5"/>
  </cols>
  <sheetData>
    <row r="1">
      <c r="A1" s="1" t="s">
        <v>0</v>
      </c>
      <c r="B1" s="3" t="s">
        <v>2</v>
      </c>
      <c r="C1" s="3" t="s">
        <v>4</v>
      </c>
      <c r="D1" s="3" t="s">
        <v>5</v>
      </c>
      <c r="E1" s="3" t="s">
        <v>7</v>
      </c>
      <c r="F1" s="3" t="s">
        <v>10</v>
      </c>
      <c r="G1" s="6" t="s">
        <v>12</v>
      </c>
      <c r="H1" s="6" t="s">
        <v>16</v>
      </c>
      <c r="I1" s="6" t="s">
        <v>19</v>
      </c>
      <c r="J1" s="6" t="s">
        <v>21</v>
      </c>
      <c r="K1" s="7" t="s">
        <v>24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>
        <v>45292.00069444445</v>
      </c>
      <c r="B2" s="10">
        <v>18.0</v>
      </c>
      <c r="C2" s="10">
        <v>76.54</v>
      </c>
      <c r="D2" s="10">
        <v>4.88</v>
      </c>
      <c r="E2" s="10">
        <v>33.93</v>
      </c>
      <c r="F2" s="10">
        <v>1363.7</v>
      </c>
      <c r="G2" s="11">
        <f t="shared" ref="G2:G16" si="1">(C2 - MIN($C$2:$C$16)) / (MAX($C$2:$C$16) - MIN($C$2:$C$16))</f>
        <v>0.3940276766</v>
      </c>
      <c r="H2" s="11">
        <f t="shared" ref="H2:H16" si="2">(D2 - MIN($D$2:$D$16)) / (MAX($D$2:$D$16) - MIN($D$2:$D$16))</f>
        <v>0.6193853428</v>
      </c>
      <c r="I2" s="11">
        <f t="shared" ref="I2:I16" si="3">(E2 - MIN($E$2:$E$16)) / (MAX($E$2:$E$16) - MIN($E$2:$E$16))</f>
        <v>0.8305369128</v>
      </c>
      <c r="J2" s="11">
        <f t="shared" ref="J2:J16" si="4">(F2 - MIN($F$2:F$16)) / (MAX($F$2:$F$16) - MIN($F$2:$F$16))</f>
        <v>0.8660062234</v>
      </c>
      <c r="K2" s="12">
        <f t="shared" ref="K2:K16" si="5">SQRT(($G2-$G$2)^2+($H2-$H$2)^2+($I2-$I$2)^2+($J2-$J$2)^2)</f>
        <v>0</v>
      </c>
      <c r="L2" s="12">
        <f t="shared" ref="L2:L16" si="6">SQRT(($G2-$G$3)^2+($H2-$H$3)^2+($I2-$I$3)^2+($J2-$J$3)^2)</f>
        <v>1.038558181</v>
      </c>
      <c r="M2" s="12">
        <f t="shared" ref="M2:M16" si="7">SQRT(($G2-$G$4)^2+($H2-$H$4)^2+($I2-$I$4)^2+($J2-$J$4)^2)</f>
        <v>0.7685410661</v>
      </c>
      <c r="N2" s="12">
        <f t="shared" ref="N2:N16" si="8">SQRT(($G2-$G$5)^2+($H2-$H$5)^2+($I2-$I$5)^2+($J2-$J$5)^2)</f>
        <v>0.9749465879</v>
      </c>
      <c r="O2" s="12">
        <f t="shared" ref="O2:O16" si="9">SQRT(($G2-$G$6)^2+($H2-$H$6)^2+($I2-$I$6)^2+($J2-$J$6)^2)</f>
        <v>0.9701763661</v>
      </c>
      <c r="P2" s="12">
        <f t="shared" ref="P2:P16" si="10">SQRT(($G2-$G$7)^2+($H2-$H$7)^2+($I2-$I$7)^2+($J2-$J$7)^2)</f>
        <v>1.373586093</v>
      </c>
      <c r="Q2" s="12">
        <f t="shared" ref="Q2:Q16" si="11">SQRT(($G2-$G$8)^2+($H2-$H$8)^2+($I2-$I$8)^2+($J2-$J$8)^2)</f>
        <v>0.4450531779</v>
      </c>
      <c r="R2" s="12">
        <f t="shared" ref="R2:R16" si="12">SQRT(($G2-$G$9)^2+($H2-$H$9)^2+($I2-$I$9)^2+($J2-$J$9)^2)</f>
        <v>0.8376917039</v>
      </c>
      <c r="S2" s="12">
        <f t="shared" ref="S2:S16" si="13">SQRT(($G2-$G$10)^2+($H2-$H$10)^2+($I2-$I$10)^2+($J2-$J$10)^2)</f>
        <v>0.2544671498</v>
      </c>
      <c r="T2" s="12">
        <f t="shared" ref="T2:T16" si="14">SQRT(($G2-$G$11)^2+($H2-$H$11)^2+($I2-$I$11)^2+($J2-$J$11)^2)</f>
        <v>0.5799736243</v>
      </c>
      <c r="U2" s="12">
        <f t="shared" ref="U2:U16" si="15">SQRT(($G2-$G$12)^2+($H2-$H$12)^2+($I2-$I$12)^2+($J2-$J$12)^2)</f>
        <v>0.6816008825</v>
      </c>
      <c r="V2" s="12">
        <f t="shared" ref="V2:V16" si="16">SQRT(($G2-$G$13)^2+($H2-$H$13)^2+($I2-$I$13)^2+($J2-$J$13)^2)</f>
        <v>0.3104518246</v>
      </c>
      <c r="W2" s="12">
        <f t="shared" ref="W2:W16" si="17">SQRT(($G2-$G$14)^2+($H2-$H$14)^2+($I2-$I$14)^2+($J2-$J$14)^2)</f>
        <v>0.3244833166</v>
      </c>
      <c r="X2" s="12">
        <f t="shared" ref="X2:X16" si="18">SQRT(($G2-$G$15)^2+($H2-$H$15)^2+($I2-$I$15)^2+($J2-$J$15)^2)</f>
        <v>0.2768195996</v>
      </c>
      <c r="Y2" s="12">
        <f t="shared" ref="Y2:Y16" si="19">SQRT(($G2-$G$16)^2+($H2-$H$16)^2+($I2-$I$16)^2+($J2-$J$16)^2)</f>
        <v>0.9884335193</v>
      </c>
    </row>
    <row r="3">
      <c r="A3" s="9">
        <v>45292.00069444445</v>
      </c>
      <c r="B3" s="10">
        <v>37.0</v>
      </c>
      <c r="C3" s="10">
        <v>73.02</v>
      </c>
      <c r="D3" s="10">
        <v>4.71</v>
      </c>
      <c r="E3" s="10">
        <v>30.56</v>
      </c>
      <c r="F3" s="10">
        <v>0.0</v>
      </c>
      <c r="G3" s="11">
        <f t="shared" si="1"/>
        <v>0.3085700413</v>
      </c>
      <c r="H3" s="11">
        <f t="shared" si="2"/>
        <v>0.5791962175</v>
      </c>
      <c r="I3" s="11">
        <f t="shared" si="3"/>
        <v>0.2651006711</v>
      </c>
      <c r="J3" s="11">
        <f t="shared" si="4"/>
        <v>0</v>
      </c>
      <c r="K3" s="12">
        <f t="shared" si="5"/>
        <v>1.038558181</v>
      </c>
      <c r="L3" s="12">
        <f t="shared" si="6"/>
        <v>0</v>
      </c>
      <c r="M3" s="12">
        <f t="shared" si="7"/>
        <v>1.053891738</v>
      </c>
      <c r="N3" s="12">
        <f t="shared" si="8"/>
        <v>0.227987985</v>
      </c>
      <c r="O3" s="12">
        <f t="shared" si="9"/>
        <v>0.2942209063</v>
      </c>
      <c r="P3" s="12">
        <f t="shared" si="10"/>
        <v>0.8066680375</v>
      </c>
      <c r="Q3" s="12">
        <f t="shared" si="11"/>
        <v>0.8535572895</v>
      </c>
      <c r="R3" s="12">
        <f t="shared" si="12"/>
        <v>1.062394735</v>
      </c>
      <c r="S3" s="12">
        <f t="shared" si="13"/>
        <v>1.244827532</v>
      </c>
      <c r="T3" s="12">
        <f t="shared" si="14"/>
        <v>0.8215783368</v>
      </c>
      <c r="U3" s="12">
        <f t="shared" si="15"/>
        <v>1.245171455</v>
      </c>
      <c r="V3" s="12">
        <f t="shared" si="16"/>
        <v>0.8377896378</v>
      </c>
      <c r="W3" s="12">
        <f t="shared" si="17"/>
        <v>0.8160069721</v>
      </c>
      <c r="X3" s="12">
        <f t="shared" si="18"/>
        <v>0.9523776914</v>
      </c>
      <c r="Y3" s="12">
        <f t="shared" si="19"/>
        <v>0.1774510472</v>
      </c>
    </row>
    <row r="4">
      <c r="A4" s="9">
        <v>45292.00069444445</v>
      </c>
      <c r="B4" s="10">
        <v>43.0</v>
      </c>
      <c r="C4" s="10">
        <v>77.21</v>
      </c>
      <c r="D4" s="10">
        <v>2.26</v>
      </c>
      <c r="E4" s="10">
        <v>31.22</v>
      </c>
      <c r="F4" s="10">
        <v>1366.1</v>
      </c>
      <c r="G4" s="11">
        <f t="shared" si="1"/>
        <v>0.4102937606</v>
      </c>
      <c r="H4" s="11">
        <f t="shared" si="2"/>
        <v>0</v>
      </c>
      <c r="I4" s="11">
        <f t="shared" si="3"/>
        <v>0.3758389262</v>
      </c>
      <c r="J4" s="11">
        <f t="shared" si="4"/>
        <v>0.8675303232</v>
      </c>
      <c r="K4" s="12">
        <f t="shared" si="5"/>
        <v>0.7685410661</v>
      </c>
      <c r="L4" s="12">
        <f t="shared" si="6"/>
        <v>1.053891738</v>
      </c>
      <c r="M4" s="12">
        <f t="shared" si="7"/>
        <v>0</v>
      </c>
      <c r="N4" s="12">
        <f t="shared" si="8"/>
        <v>1.01663149</v>
      </c>
      <c r="O4" s="12">
        <f t="shared" si="9"/>
        <v>1.020815775</v>
      </c>
      <c r="P4" s="12">
        <f t="shared" si="10"/>
        <v>1.475926827</v>
      </c>
      <c r="Q4" s="12">
        <f t="shared" si="11"/>
        <v>0.4884372766</v>
      </c>
      <c r="R4" s="12">
        <f t="shared" si="12"/>
        <v>0.4374777219</v>
      </c>
      <c r="S4" s="12">
        <f t="shared" si="13"/>
        <v>0.8076774333</v>
      </c>
      <c r="T4" s="12">
        <f t="shared" si="14"/>
        <v>0.4577079455</v>
      </c>
      <c r="U4" s="12">
        <f t="shared" si="15"/>
        <v>1.065969447</v>
      </c>
      <c r="V4" s="12">
        <f t="shared" si="16"/>
        <v>0.6271594388</v>
      </c>
      <c r="W4" s="12">
        <f t="shared" si="17"/>
        <v>0.7744630326</v>
      </c>
      <c r="X4" s="12">
        <f t="shared" si="18"/>
        <v>0.5799538067</v>
      </c>
      <c r="Y4" s="12">
        <f t="shared" si="19"/>
        <v>1.006558154</v>
      </c>
    </row>
    <row r="5">
      <c r="A5" s="9">
        <v>45292.00069444445</v>
      </c>
      <c r="B5" s="10">
        <v>3.0</v>
      </c>
      <c r="C5" s="10">
        <v>68.86</v>
      </c>
      <c r="D5" s="10">
        <v>4.31</v>
      </c>
      <c r="E5" s="10">
        <v>31.64</v>
      </c>
      <c r="F5" s="10">
        <v>0.0</v>
      </c>
      <c r="G5" s="11">
        <f t="shared" si="1"/>
        <v>0.207574654</v>
      </c>
      <c r="H5" s="11">
        <f t="shared" si="2"/>
        <v>0.4846335697</v>
      </c>
      <c r="I5" s="11">
        <f t="shared" si="3"/>
        <v>0.4463087248</v>
      </c>
      <c r="J5" s="11">
        <f t="shared" si="4"/>
        <v>0</v>
      </c>
      <c r="K5" s="12">
        <f t="shared" si="5"/>
        <v>0.9749465879</v>
      </c>
      <c r="L5" s="12">
        <f t="shared" si="6"/>
        <v>0.227987985</v>
      </c>
      <c r="M5" s="12">
        <f t="shared" si="7"/>
        <v>1.01663149</v>
      </c>
      <c r="N5" s="12">
        <f t="shared" si="8"/>
        <v>0</v>
      </c>
      <c r="O5" s="12">
        <f t="shared" si="9"/>
        <v>0.06791287158</v>
      </c>
      <c r="P5" s="12">
        <f t="shared" si="10"/>
        <v>1.003313865</v>
      </c>
      <c r="Q5" s="12">
        <f t="shared" si="11"/>
        <v>0.8422184827</v>
      </c>
      <c r="R5" s="12">
        <f t="shared" si="12"/>
        <v>1.011253797</v>
      </c>
      <c r="S5" s="12">
        <f t="shared" si="13"/>
        <v>1.152137484</v>
      </c>
      <c r="T5" s="12">
        <f t="shared" si="14"/>
        <v>0.8343040082</v>
      </c>
      <c r="U5" s="12">
        <f t="shared" si="15"/>
        <v>1.288840319</v>
      </c>
      <c r="V5" s="12">
        <f t="shared" si="16"/>
        <v>0.7781415555</v>
      </c>
      <c r="W5" s="12">
        <f t="shared" si="17"/>
        <v>0.7337044296</v>
      </c>
      <c r="X5" s="12">
        <f t="shared" si="18"/>
        <v>0.9110117629</v>
      </c>
      <c r="Y5" s="12">
        <f t="shared" si="19"/>
        <v>0.05993699211</v>
      </c>
    </row>
    <row r="6">
      <c r="A6" s="9">
        <v>45292.00069444445</v>
      </c>
      <c r="B6" s="10">
        <v>13.0</v>
      </c>
      <c r="C6" s="10">
        <v>67.04</v>
      </c>
      <c r="D6" s="10">
        <v>4.22</v>
      </c>
      <c r="E6" s="10">
        <v>31.92</v>
      </c>
      <c r="F6" s="10">
        <v>0.0</v>
      </c>
      <c r="G6" s="11">
        <f t="shared" si="1"/>
        <v>0.1633891721</v>
      </c>
      <c r="H6" s="11">
        <f t="shared" si="2"/>
        <v>0.463356974</v>
      </c>
      <c r="I6" s="11">
        <f t="shared" si="3"/>
        <v>0.4932885906</v>
      </c>
      <c r="J6" s="11">
        <f t="shared" si="4"/>
        <v>0</v>
      </c>
      <c r="K6" s="12">
        <f t="shared" si="5"/>
        <v>0.9701763661</v>
      </c>
      <c r="L6" s="12">
        <f t="shared" si="6"/>
        <v>0.2942209063</v>
      </c>
      <c r="M6" s="12">
        <f t="shared" si="7"/>
        <v>1.020815775</v>
      </c>
      <c r="N6" s="12">
        <f t="shared" si="8"/>
        <v>0.06791287158</v>
      </c>
      <c r="O6" s="12">
        <f t="shared" si="9"/>
        <v>0</v>
      </c>
      <c r="P6" s="12">
        <f t="shared" si="10"/>
        <v>1.067785726</v>
      </c>
      <c r="Q6" s="12">
        <f t="shared" si="11"/>
        <v>0.8524121979</v>
      </c>
      <c r="R6" s="12">
        <f t="shared" si="12"/>
        <v>1.004056375</v>
      </c>
      <c r="S6" s="12">
        <f t="shared" si="13"/>
        <v>1.137125326</v>
      </c>
      <c r="T6" s="12">
        <f t="shared" si="14"/>
        <v>0.8510221362</v>
      </c>
      <c r="U6" s="12">
        <f t="shared" si="15"/>
        <v>1.316836051</v>
      </c>
      <c r="V6" s="12">
        <f t="shared" si="16"/>
        <v>0.7738296619</v>
      </c>
      <c r="W6" s="12">
        <f t="shared" si="17"/>
        <v>0.7217845825</v>
      </c>
      <c r="X6" s="12">
        <f t="shared" si="18"/>
        <v>0.9116330715</v>
      </c>
      <c r="Y6" s="12">
        <f t="shared" si="19"/>
        <v>0.1257010427</v>
      </c>
    </row>
    <row r="7">
      <c r="A7" s="9">
        <v>45292.00069444445</v>
      </c>
      <c r="B7" s="10">
        <v>43.0</v>
      </c>
      <c r="C7" s="10">
        <v>99.18</v>
      </c>
      <c r="D7" s="10">
        <v>6.49</v>
      </c>
      <c r="E7" s="10">
        <v>28.98</v>
      </c>
      <c r="F7" s="10">
        <v>0.0</v>
      </c>
      <c r="G7" s="11">
        <f t="shared" si="1"/>
        <v>0.9436756494</v>
      </c>
      <c r="H7" s="11">
        <f t="shared" si="2"/>
        <v>1</v>
      </c>
      <c r="I7" s="11">
        <f t="shared" si="3"/>
        <v>0</v>
      </c>
      <c r="J7" s="11">
        <f t="shared" si="4"/>
        <v>0</v>
      </c>
      <c r="K7" s="12">
        <f t="shared" si="5"/>
        <v>1.373586093</v>
      </c>
      <c r="L7" s="12">
        <f t="shared" si="6"/>
        <v>0.8066680375</v>
      </c>
      <c r="M7" s="12">
        <f t="shared" si="7"/>
        <v>1.475926827</v>
      </c>
      <c r="N7" s="12">
        <f t="shared" si="8"/>
        <v>1.003313865</v>
      </c>
      <c r="O7" s="12">
        <f t="shared" si="9"/>
        <v>1.067785726</v>
      </c>
      <c r="P7" s="12">
        <f t="shared" si="10"/>
        <v>0</v>
      </c>
      <c r="Q7" s="12">
        <f t="shared" si="11"/>
        <v>1.23596991</v>
      </c>
      <c r="R7" s="12">
        <f t="shared" si="12"/>
        <v>1.603675321</v>
      </c>
      <c r="S7" s="12">
        <f t="shared" si="13"/>
        <v>1.61514022</v>
      </c>
      <c r="T7" s="12">
        <f t="shared" si="14"/>
        <v>1.196909568</v>
      </c>
      <c r="U7" s="12">
        <f t="shared" si="15"/>
        <v>1.135398639</v>
      </c>
      <c r="V7" s="12">
        <f t="shared" si="16"/>
        <v>1.293773341</v>
      </c>
      <c r="W7" s="12">
        <f t="shared" si="17"/>
        <v>1.30008822</v>
      </c>
      <c r="X7" s="12">
        <f t="shared" si="18"/>
        <v>1.336008699</v>
      </c>
      <c r="Y7" s="12">
        <f t="shared" si="19"/>
        <v>0.9571039519</v>
      </c>
    </row>
    <row r="8">
      <c r="A8" s="9">
        <v>45292.00069444445</v>
      </c>
      <c r="B8" s="10">
        <v>25.0</v>
      </c>
      <c r="C8" s="10">
        <v>73.58</v>
      </c>
      <c r="D8" s="10">
        <v>4.28</v>
      </c>
      <c r="E8" s="10">
        <v>31.46</v>
      </c>
      <c r="F8" s="10">
        <v>1313.0</v>
      </c>
      <c r="G8" s="11">
        <f t="shared" si="1"/>
        <v>0.3221655742</v>
      </c>
      <c r="H8" s="11">
        <f t="shared" si="2"/>
        <v>0.4775413712</v>
      </c>
      <c r="I8" s="11">
        <f t="shared" si="3"/>
        <v>0.4161073826</v>
      </c>
      <c r="J8" s="11">
        <f t="shared" si="4"/>
        <v>0.8338096145</v>
      </c>
      <c r="K8" s="12">
        <f t="shared" si="5"/>
        <v>0.4450531779</v>
      </c>
      <c r="L8" s="12">
        <f t="shared" si="6"/>
        <v>0.8535572895</v>
      </c>
      <c r="M8" s="12">
        <f t="shared" si="7"/>
        <v>0.4884372766</v>
      </c>
      <c r="N8" s="12">
        <f t="shared" si="8"/>
        <v>0.8422184827</v>
      </c>
      <c r="O8" s="12">
        <f t="shared" si="9"/>
        <v>0.8524121979</v>
      </c>
      <c r="P8" s="12">
        <f t="shared" si="10"/>
        <v>1.23596991</v>
      </c>
      <c r="Q8" s="12">
        <f t="shared" si="11"/>
        <v>0</v>
      </c>
      <c r="R8" s="12">
        <f t="shared" si="12"/>
        <v>0.5043330859</v>
      </c>
      <c r="S8" s="12">
        <f t="shared" si="13"/>
        <v>0.6079706454</v>
      </c>
      <c r="T8" s="12">
        <f t="shared" si="14"/>
        <v>0.137710421</v>
      </c>
      <c r="U8" s="12">
        <f t="shared" si="15"/>
        <v>0.8075357533</v>
      </c>
      <c r="V8" s="12">
        <f t="shared" si="16"/>
        <v>0.2365845047</v>
      </c>
      <c r="W8" s="12">
        <f t="shared" si="17"/>
        <v>0.3965504512</v>
      </c>
      <c r="X8" s="12">
        <f t="shared" si="18"/>
        <v>0.1910071337</v>
      </c>
      <c r="Y8" s="12">
        <f t="shared" si="19"/>
        <v>0.8375799827</v>
      </c>
    </row>
    <row r="9">
      <c r="A9" s="9">
        <v>45292.00069444445</v>
      </c>
      <c r="B9" s="10">
        <v>35.0</v>
      </c>
      <c r="C9" s="10">
        <v>60.31</v>
      </c>
      <c r="D9" s="10">
        <v>2.76</v>
      </c>
      <c r="E9" s="10">
        <v>30.7</v>
      </c>
      <c r="F9" s="10">
        <v>1426.3</v>
      </c>
      <c r="G9" s="11">
        <f t="shared" si="1"/>
        <v>0</v>
      </c>
      <c r="H9" s="11">
        <f t="shared" si="2"/>
        <v>0.1182033097</v>
      </c>
      <c r="I9" s="11">
        <f t="shared" si="3"/>
        <v>0.288590604</v>
      </c>
      <c r="J9" s="11">
        <f t="shared" si="4"/>
        <v>0.9057598273</v>
      </c>
      <c r="K9" s="12">
        <f t="shared" si="5"/>
        <v>0.8376917039</v>
      </c>
      <c r="L9" s="12">
        <f t="shared" si="6"/>
        <v>1.062394735</v>
      </c>
      <c r="M9" s="12">
        <f t="shared" si="7"/>
        <v>0.4374777219</v>
      </c>
      <c r="N9" s="12">
        <f t="shared" si="8"/>
        <v>1.011253797</v>
      </c>
      <c r="O9" s="12">
        <f t="shared" si="9"/>
        <v>1.004056375</v>
      </c>
      <c r="P9" s="12">
        <f t="shared" si="10"/>
        <v>1.603675321</v>
      </c>
      <c r="Q9" s="12">
        <f t="shared" si="11"/>
        <v>0.5043330859</v>
      </c>
      <c r="R9" s="12">
        <f t="shared" si="12"/>
        <v>0</v>
      </c>
      <c r="S9" s="12">
        <f t="shared" si="13"/>
        <v>0.8821880977</v>
      </c>
      <c r="T9" s="12">
        <f t="shared" si="14"/>
        <v>0.4674774304</v>
      </c>
      <c r="U9" s="12">
        <f t="shared" si="15"/>
        <v>1.284634052</v>
      </c>
      <c r="V9" s="12">
        <f t="shared" si="16"/>
        <v>0.5934924809</v>
      </c>
      <c r="W9" s="12">
        <f t="shared" si="17"/>
        <v>0.7186341794</v>
      </c>
      <c r="X9" s="12">
        <f t="shared" si="18"/>
        <v>0.5892474714</v>
      </c>
      <c r="Y9" s="12">
        <f t="shared" si="19"/>
        <v>1.012470097</v>
      </c>
    </row>
    <row r="10">
      <c r="A10" s="9">
        <v>45292.00069444445</v>
      </c>
      <c r="B10" s="10">
        <v>43.0</v>
      </c>
      <c r="C10" s="10">
        <v>74.8</v>
      </c>
      <c r="D10" s="10">
        <v>4.34</v>
      </c>
      <c r="E10" s="10">
        <v>34.94</v>
      </c>
      <c r="F10" s="10">
        <v>1574.7</v>
      </c>
      <c r="G10" s="11">
        <f t="shared" si="1"/>
        <v>0.3517844137</v>
      </c>
      <c r="H10" s="11">
        <f t="shared" si="2"/>
        <v>0.4917257683</v>
      </c>
      <c r="I10" s="11">
        <f t="shared" si="3"/>
        <v>1</v>
      </c>
      <c r="J10" s="11">
        <f t="shared" si="4"/>
        <v>1</v>
      </c>
      <c r="K10" s="12">
        <f t="shared" si="5"/>
        <v>0.2544671498</v>
      </c>
      <c r="L10" s="12">
        <f t="shared" si="6"/>
        <v>1.244827532</v>
      </c>
      <c r="M10" s="12">
        <f t="shared" si="7"/>
        <v>0.8076774333</v>
      </c>
      <c r="N10" s="12">
        <f t="shared" si="8"/>
        <v>1.152137484</v>
      </c>
      <c r="O10" s="12">
        <f t="shared" si="9"/>
        <v>1.137125326</v>
      </c>
      <c r="P10" s="12">
        <f t="shared" si="10"/>
        <v>1.61514022</v>
      </c>
      <c r="Q10" s="12">
        <f t="shared" si="11"/>
        <v>0.6079706454</v>
      </c>
      <c r="R10" s="12">
        <f t="shared" si="12"/>
        <v>0.8821880977</v>
      </c>
      <c r="S10" s="12">
        <f t="shared" si="13"/>
        <v>0</v>
      </c>
      <c r="T10" s="12">
        <f t="shared" si="14"/>
        <v>0.7406924176</v>
      </c>
      <c r="U10" s="12">
        <f t="shared" si="15"/>
        <v>0.8305663746</v>
      </c>
      <c r="V10" s="12">
        <f t="shared" si="16"/>
        <v>0.4807546847</v>
      </c>
      <c r="W10" s="12">
        <f t="shared" si="17"/>
        <v>0.4972886993</v>
      </c>
      <c r="X10" s="12">
        <f t="shared" si="18"/>
        <v>0.429196003</v>
      </c>
      <c r="Y10" s="12">
        <f t="shared" si="19"/>
        <v>1.171476895</v>
      </c>
    </row>
    <row r="11">
      <c r="A11" s="9">
        <v>45292.00069444445</v>
      </c>
      <c r="B11" s="10">
        <v>28.0</v>
      </c>
      <c r="C11" s="10">
        <v>73.8</v>
      </c>
      <c r="D11" s="10">
        <v>4.11</v>
      </c>
      <c r="E11" s="10">
        <v>30.69</v>
      </c>
      <c r="F11" s="10">
        <v>1273.5</v>
      </c>
      <c r="G11" s="11">
        <f t="shared" si="1"/>
        <v>0.3275066764</v>
      </c>
      <c r="H11" s="11">
        <f t="shared" si="2"/>
        <v>0.4373522459</v>
      </c>
      <c r="I11" s="11">
        <f t="shared" si="3"/>
        <v>0.2869127517</v>
      </c>
      <c r="J11" s="11">
        <f t="shared" si="4"/>
        <v>0.8087254715</v>
      </c>
      <c r="K11" s="12">
        <f t="shared" si="5"/>
        <v>0.5799736243</v>
      </c>
      <c r="L11" s="12">
        <f t="shared" si="6"/>
        <v>0.8215783368</v>
      </c>
      <c r="M11" s="12">
        <f t="shared" si="7"/>
        <v>0.4577079455</v>
      </c>
      <c r="N11" s="12">
        <f t="shared" si="8"/>
        <v>0.8343040082</v>
      </c>
      <c r="O11" s="12">
        <f t="shared" si="9"/>
        <v>0.8510221362</v>
      </c>
      <c r="P11" s="12">
        <f t="shared" si="10"/>
        <v>1.196909568</v>
      </c>
      <c r="Q11" s="12">
        <f t="shared" si="11"/>
        <v>0.137710421</v>
      </c>
      <c r="R11" s="12">
        <f t="shared" si="12"/>
        <v>0.4674774304</v>
      </c>
      <c r="S11" s="12">
        <f t="shared" si="13"/>
        <v>0.7406924176</v>
      </c>
      <c r="T11" s="12">
        <f t="shared" si="14"/>
        <v>0</v>
      </c>
      <c r="U11" s="12">
        <f t="shared" si="15"/>
        <v>0.8681112076</v>
      </c>
      <c r="V11" s="12">
        <f t="shared" si="16"/>
        <v>0.3560762548</v>
      </c>
      <c r="W11" s="12">
        <f t="shared" si="17"/>
        <v>0.5065847078</v>
      </c>
      <c r="X11" s="12">
        <f t="shared" si="18"/>
        <v>0.3276583715</v>
      </c>
      <c r="Y11" s="12">
        <f t="shared" si="19"/>
        <v>0.8219157687</v>
      </c>
    </row>
    <row r="12">
      <c r="A12" s="9">
        <v>45292.00069444445</v>
      </c>
      <c r="B12" s="10">
        <v>41.0</v>
      </c>
      <c r="C12" s="10">
        <v>101.5</v>
      </c>
      <c r="D12" s="10">
        <v>5.85</v>
      </c>
      <c r="E12" s="10">
        <v>32.73</v>
      </c>
      <c r="F12" s="10">
        <v>1466.4</v>
      </c>
      <c r="G12" s="11">
        <f t="shared" si="1"/>
        <v>1</v>
      </c>
      <c r="H12" s="11">
        <f t="shared" si="2"/>
        <v>0.8486997636</v>
      </c>
      <c r="I12" s="11">
        <f t="shared" si="3"/>
        <v>0.6291946309</v>
      </c>
      <c r="J12" s="11">
        <f t="shared" si="4"/>
        <v>0.9312249952</v>
      </c>
      <c r="K12" s="12">
        <f t="shared" si="5"/>
        <v>0.6816008825</v>
      </c>
      <c r="L12" s="12">
        <f t="shared" si="6"/>
        <v>1.245171455</v>
      </c>
      <c r="M12" s="12">
        <f t="shared" si="7"/>
        <v>1.065969447</v>
      </c>
      <c r="N12" s="12">
        <f t="shared" si="8"/>
        <v>1.288840319</v>
      </c>
      <c r="O12" s="12">
        <f t="shared" si="9"/>
        <v>1.316836051</v>
      </c>
      <c r="P12" s="12">
        <f t="shared" si="10"/>
        <v>1.135398639</v>
      </c>
      <c r="Q12" s="12">
        <f t="shared" si="11"/>
        <v>0.8075357533</v>
      </c>
      <c r="R12" s="12">
        <f t="shared" si="12"/>
        <v>1.284634052</v>
      </c>
      <c r="S12" s="12">
        <f t="shared" si="13"/>
        <v>0.8305663746</v>
      </c>
      <c r="T12" s="12">
        <f t="shared" si="14"/>
        <v>0.8681112076</v>
      </c>
      <c r="U12" s="12">
        <f t="shared" si="15"/>
        <v>0</v>
      </c>
      <c r="V12" s="12">
        <f t="shared" si="16"/>
        <v>0.8528702266</v>
      </c>
      <c r="W12" s="12">
        <f t="shared" si="17"/>
        <v>0.9038774662</v>
      </c>
      <c r="X12" s="12">
        <f t="shared" si="18"/>
        <v>0.772845654</v>
      </c>
      <c r="Y12" s="12">
        <f t="shared" si="19"/>
        <v>1.274652068</v>
      </c>
    </row>
    <row r="13">
      <c r="A13" s="9">
        <v>45292.00069444445</v>
      </c>
      <c r="B13" s="10">
        <v>30.0</v>
      </c>
      <c r="C13" s="10">
        <v>69.52</v>
      </c>
      <c r="D13" s="10">
        <v>4.55</v>
      </c>
      <c r="E13" s="10">
        <v>32.6</v>
      </c>
      <c r="F13" s="10">
        <v>1195.2</v>
      </c>
      <c r="G13" s="11">
        <f t="shared" si="1"/>
        <v>0.2235979607</v>
      </c>
      <c r="H13" s="11">
        <f t="shared" si="2"/>
        <v>0.5413711584</v>
      </c>
      <c r="I13" s="11">
        <f t="shared" si="3"/>
        <v>0.6073825503</v>
      </c>
      <c r="J13" s="11">
        <f t="shared" si="4"/>
        <v>0.7590017146</v>
      </c>
      <c r="K13" s="12">
        <f t="shared" si="5"/>
        <v>0.3104518246</v>
      </c>
      <c r="L13" s="12">
        <f t="shared" si="6"/>
        <v>0.8377896378</v>
      </c>
      <c r="M13" s="12">
        <f t="shared" si="7"/>
        <v>0.6271594388</v>
      </c>
      <c r="N13" s="12">
        <f t="shared" si="8"/>
        <v>0.7781415555</v>
      </c>
      <c r="O13" s="12">
        <f t="shared" si="9"/>
        <v>0.7738296619</v>
      </c>
      <c r="P13" s="12">
        <f t="shared" si="10"/>
        <v>1.293773341</v>
      </c>
      <c r="Q13" s="12">
        <f t="shared" si="11"/>
        <v>0.2365845047</v>
      </c>
      <c r="R13" s="12">
        <f t="shared" si="12"/>
        <v>0.5934924809</v>
      </c>
      <c r="S13" s="12">
        <f t="shared" si="13"/>
        <v>0.4807546847</v>
      </c>
      <c r="T13" s="12">
        <f t="shared" si="14"/>
        <v>0.3560762548</v>
      </c>
      <c r="U13" s="12">
        <f t="shared" si="15"/>
        <v>0.8528702266</v>
      </c>
      <c r="V13" s="12">
        <f t="shared" si="16"/>
        <v>0</v>
      </c>
      <c r="W13" s="12">
        <f t="shared" si="17"/>
        <v>0.1677222147</v>
      </c>
      <c r="X13" s="12">
        <f t="shared" si="18"/>
        <v>0.1566019874</v>
      </c>
      <c r="Y13" s="12">
        <f t="shared" si="19"/>
        <v>0.7894992528</v>
      </c>
    </row>
    <row r="14">
      <c r="A14" s="9">
        <v>45292.00069444445</v>
      </c>
      <c r="B14" s="10">
        <v>24.0</v>
      </c>
      <c r="C14" s="10">
        <v>67.2</v>
      </c>
      <c r="D14" s="10">
        <v>4.91</v>
      </c>
      <c r="E14" s="10">
        <v>33.19</v>
      </c>
      <c r="F14" s="10">
        <v>1055.1</v>
      </c>
      <c r="G14" s="11">
        <f t="shared" si="1"/>
        <v>0.1672736101</v>
      </c>
      <c r="H14" s="11">
        <f t="shared" si="2"/>
        <v>0.6264775414</v>
      </c>
      <c r="I14" s="11">
        <f t="shared" si="3"/>
        <v>0.7063758389</v>
      </c>
      <c r="J14" s="11">
        <f t="shared" si="4"/>
        <v>0.6700323871</v>
      </c>
      <c r="K14" s="12">
        <f t="shared" si="5"/>
        <v>0.3244833166</v>
      </c>
      <c r="L14" s="12">
        <f t="shared" si="6"/>
        <v>0.8160069721</v>
      </c>
      <c r="M14" s="12">
        <f t="shared" si="7"/>
        <v>0.7744630326</v>
      </c>
      <c r="N14" s="12">
        <f t="shared" si="8"/>
        <v>0.7337044296</v>
      </c>
      <c r="O14" s="12">
        <f t="shared" si="9"/>
        <v>0.7217845825</v>
      </c>
      <c r="P14" s="12">
        <f t="shared" si="10"/>
        <v>1.30008822</v>
      </c>
      <c r="Q14" s="12">
        <f t="shared" si="11"/>
        <v>0.3965504512</v>
      </c>
      <c r="R14" s="12">
        <f t="shared" si="12"/>
        <v>0.7186341794</v>
      </c>
      <c r="S14" s="12">
        <f t="shared" si="13"/>
        <v>0.4972886993</v>
      </c>
      <c r="T14" s="12">
        <f t="shared" si="14"/>
        <v>0.5065847078</v>
      </c>
      <c r="U14" s="12">
        <f t="shared" si="15"/>
        <v>0.9038774662</v>
      </c>
      <c r="V14" s="12">
        <f t="shared" si="16"/>
        <v>0.1677222147</v>
      </c>
      <c r="W14" s="12">
        <f t="shared" si="17"/>
        <v>0</v>
      </c>
      <c r="X14" s="12">
        <f t="shared" si="18"/>
        <v>0.3021438781</v>
      </c>
      <c r="Y14" s="12">
        <f t="shared" si="19"/>
        <v>0.7549934344</v>
      </c>
    </row>
    <row r="15">
      <c r="A15" s="9">
        <v>45292.00069444445</v>
      </c>
      <c r="B15" s="10">
        <v>1.0</v>
      </c>
      <c r="C15" s="10">
        <v>72.64</v>
      </c>
      <c r="D15" s="10">
        <v>4.49</v>
      </c>
      <c r="E15" s="10">
        <v>32.49</v>
      </c>
      <c r="F15" s="10">
        <v>1407.9</v>
      </c>
      <c r="G15" s="11">
        <f t="shared" si="1"/>
        <v>0.2993445011</v>
      </c>
      <c r="H15" s="11">
        <f t="shared" si="2"/>
        <v>0.5271867612</v>
      </c>
      <c r="I15" s="11">
        <f t="shared" si="3"/>
        <v>0.5889261745</v>
      </c>
      <c r="J15" s="11">
        <f t="shared" si="4"/>
        <v>0.8940750619</v>
      </c>
      <c r="K15" s="12">
        <f t="shared" si="5"/>
        <v>0.2768195996</v>
      </c>
      <c r="L15" s="12">
        <f t="shared" si="6"/>
        <v>0.9523776914</v>
      </c>
      <c r="M15" s="12">
        <f t="shared" si="7"/>
        <v>0.5799538067</v>
      </c>
      <c r="N15" s="12">
        <f t="shared" si="8"/>
        <v>0.9110117629</v>
      </c>
      <c r="O15" s="12">
        <f t="shared" si="9"/>
        <v>0.9116330715</v>
      </c>
      <c r="P15" s="12">
        <f t="shared" si="10"/>
        <v>1.336008699</v>
      </c>
      <c r="Q15" s="12">
        <f t="shared" si="11"/>
        <v>0.1910071337</v>
      </c>
      <c r="R15" s="12">
        <f t="shared" si="12"/>
        <v>0.5892474714</v>
      </c>
      <c r="S15" s="12">
        <f t="shared" si="13"/>
        <v>0.429196003</v>
      </c>
      <c r="T15" s="12">
        <f t="shared" si="14"/>
        <v>0.3276583715</v>
      </c>
      <c r="U15" s="12">
        <f t="shared" si="15"/>
        <v>0.772845654</v>
      </c>
      <c r="V15" s="12">
        <f t="shared" si="16"/>
        <v>0.1566019874</v>
      </c>
      <c r="W15" s="12">
        <f t="shared" si="17"/>
        <v>0.3021438781</v>
      </c>
      <c r="X15" s="12">
        <f t="shared" si="18"/>
        <v>0</v>
      </c>
      <c r="Y15" s="12">
        <f t="shared" si="19"/>
        <v>0.9166890416</v>
      </c>
    </row>
    <row r="16">
      <c r="A16" s="9">
        <v>45292.00069444445</v>
      </c>
      <c r="B16" s="10">
        <v>15.0</v>
      </c>
      <c r="C16" s="10">
        <v>70.39</v>
      </c>
      <c r="D16" s="10">
        <v>4.3</v>
      </c>
      <c r="E16" s="10">
        <v>31.36</v>
      </c>
      <c r="F16" s="10">
        <v>0.0</v>
      </c>
      <c r="G16" s="11">
        <f t="shared" si="1"/>
        <v>0.2447195921</v>
      </c>
      <c r="H16" s="11">
        <f t="shared" si="2"/>
        <v>0.4822695035</v>
      </c>
      <c r="I16" s="11">
        <f t="shared" si="3"/>
        <v>0.3993288591</v>
      </c>
      <c r="J16" s="11">
        <f t="shared" si="4"/>
        <v>0</v>
      </c>
      <c r="K16" s="12">
        <f t="shared" si="5"/>
        <v>0.9884335193</v>
      </c>
      <c r="L16" s="12">
        <f t="shared" si="6"/>
        <v>0.1774510472</v>
      </c>
      <c r="M16" s="12">
        <f t="shared" si="7"/>
        <v>1.006558154</v>
      </c>
      <c r="N16" s="12">
        <f t="shared" si="8"/>
        <v>0.05993699211</v>
      </c>
      <c r="O16" s="12">
        <f t="shared" si="9"/>
        <v>0.1257010427</v>
      </c>
      <c r="P16" s="12">
        <f t="shared" si="10"/>
        <v>0.9571039519</v>
      </c>
      <c r="Q16" s="12">
        <f t="shared" si="11"/>
        <v>0.8375799827</v>
      </c>
      <c r="R16" s="12">
        <f t="shared" si="12"/>
        <v>1.012470097</v>
      </c>
      <c r="S16" s="12">
        <f t="shared" si="13"/>
        <v>1.171476895</v>
      </c>
      <c r="T16" s="12">
        <f t="shared" si="14"/>
        <v>0.8219157687</v>
      </c>
      <c r="U16" s="12">
        <f t="shared" si="15"/>
        <v>1.274652068</v>
      </c>
      <c r="V16" s="12">
        <f t="shared" si="16"/>
        <v>0.7894992528</v>
      </c>
      <c r="W16" s="12">
        <f t="shared" si="17"/>
        <v>0.7549934344</v>
      </c>
      <c r="X16" s="12">
        <f t="shared" si="18"/>
        <v>0.9166890416</v>
      </c>
      <c r="Y16" s="12">
        <f t="shared" si="19"/>
        <v>0</v>
      </c>
    </row>
    <row r="17">
      <c r="A17" s="13"/>
      <c r="B17" s="8"/>
      <c r="C17" s="8"/>
      <c r="D17" s="8"/>
      <c r="E17" s="8"/>
      <c r="F17" s="8"/>
      <c r="G17" s="8"/>
      <c r="H17" s="8"/>
      <c r="I17" s="8"/>
      <c r="J17" s="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6" t="s">
        <v>44</v>
      </c>
      <c r="B19" s="6" t="s">
        <v>45</v>
      </c>
      <c r="C19" s="14" t="s">
        <v>46</v>
      </c>
      <c r="D19" s="15" t="s">
        <v>47</v>
      </c>
      <c r="E19" s="6" t="s">
        <v>48</v>
      </c>
      <c r="F19" s="3" t="s">
        <v>2</v>
      </c>
      <c r="G19" s="8"/>
      <c r="H19" s="8"/>
      <c r="I19" s="16"/>
      <c r="J19" s="1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2">
        <f t="shared" ref="A20:A34" si="20">SMALL(K2:Y2, 5)</f>
        <v>0.3244833166</v>
      </c>
      <c r="B20" s="12">
        <v>0.6</v>
      </c>
      <c r="C20" s="17">
        <f>COUNTIF(K2:Y2, "&lt;0,20")</f>
        <v>1</v>
      </c>
      <c r="D20" s="18" t="str">
        <f>IF(C20&gt;=5, "NORMAL", IF(C20&gt;=3, "WARNING", "ANOMALI"))</f>
        <v>ANOMALI</v>
      </c>
      <c r="E20" s="6" t="s">
        <v>49</v>
      </c>
      <c r="F20" s="10">
        <v>18.0</v>
      </c>
      <c r="G20" s="8"/>
      <c r="H20" s="8"/>
      <c r="I20" s="16"/>
      <c r="J20" s="1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2">
        <f t="shared" si="20"/>
        <v>0.8066680375</v>
      </c>
      <c r="B21" s="19"/>
      <c r="C21" s="17">
        <f t="shared" ref="C21:C34" si="21">COUNTIF(K3:Y3, "&lt;0,60")</f>
        <v>4</v>
      </c>
      <c r="D21" s="18" t="str">
        <f t="shared" ref="D21:D34" si="22">IF(C21&gt;=4, "NORMAL", IF(C21&gt;=2, "WARNING", "ANOMALI"))</f>
        <v>NORMAL</v>
      </c>
      <c r="E21" s="6" t="s">
        <v>49</v>
      </c>
      <c r="F21" s="10">
        <v>37.0</v>
      </c>
      <c r="G21" s="8"/>
      <c r="H21" s="8"/>
      <c r="I21" s="16"/>
      <c r="J21" s="1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2">
        <f t="shared" si="20"/>
        <v>0.5799538067</v>
      </c>
      <c r="B22" s="19"/>
      <c r="C22" s="17">
        <f t="shared" si="21"/>
        <v>5</v>
      </c>
      <c r="D22" s="20" t="str">
        <f t="shared" si="22"/>
        <v>NORMAL</v>
      </c>
      <c r="E22" s="21" t="s">
        <v>50</v>
      </c>
      <c r="F22" s="10">
        <v>43.0</v>
      </c>
      <c r="G22" s="8"/>
      <c r="H22" s="8"/>
      <c r="I22" s="16"/>
      <c r="J22" s="1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2">
        <f t="shared" si="20"/>
        <v>0.7337044296</v>
      </c>
      <c r="B23" s="19"/>
      <c r="C23" s="17">
        <f t="shared" si="21"/>
        <v>4</v>
      </c>
      <c r="D23" s="18" t="str">
        <f t="shared" si="22"/>
        <v>NORMAL</v>
      </c>
      <c r="E23" s="6" t="s">
        <v>49</v>
      </c>
      <c r="F23" s="10">
        <v>3.0</v>
      </c>
      <c r="G23" s="8"/>
      <c r="H23" s="8"/>
      <c r="I23" s="16"/>
      <c r="J23" s="1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2">
        <f t="shared" si="20"/>
        <v>0.7217845825</v>
      </c>
      <c r="B24" s="19"/>
      <c r="C24" s="17">
        <f t="shared" si="21"/>
        <v>4</v>
      </c>
      <c r="D24" s="18" t="str">
        <f t="shared" si="22"/>
        <v>NORMAL</v>
      </c>
      <c r="E24" s="6" t="s">
        <v>49</v>
      </c>
      <c r="F24" s="10">
        <v>13.0</v>
      </c>
      <c r="G24" s="8"/>
      <c r="H24" s="22"/>
      <c r="I24" s="23"/>
      <c r="J24" s="23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2">
        <f t="shared" si="20"/>
        <v>1.067785726</v>
      </c>
      <c r="B25" s="19"/>
      <c r="C25" s="17">
        <f t="shared" si="21"/>
        <v>1</v>
      </c>
      <c r="D25" s="20" t="str">
        <f t="shared" si="22"/>
        <v>ANOMALI</v>
      </c>
      <c r="E25" s="24" t="s">
        <v>51</v>
      </c>
      <c r="F25" s="25">
        <v>43.0</v>
      </c>
      <c r="G25" s="8"/>
      <c r="H25" s="22"/>
      <c r="I25" s="26"/>
      <c r="J25" s="2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2">
        <f t="shared" si="20"/>
        <v>0.3965504512</v>
      </c>
      <c r="B26" s="19"/>
      <c r="C26" s="17">
        <f t="shared" si="21"/>
        <v>8</v>
      </c>
      <c r="D26" s="18" t="str">
        <f t="shared" si="22"/>
        <v>NORMAL</v>
      </c>
      <c r="E26" s="6" t="s">
        <v>49</v>
      </c>
      <c r="F26" s="10">
        <v>25.0</v>
      </c>
      <c r="G26" s="8"/>
      <c r="H26" s="22"/>
      <c r="I26" s="26"/>
      <c r="J26" s="2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2">
        <f t="shared" si="20"/>
        <v>0.5892474714</v>
      </c>
      <c r="B27" s="19"/>
      <c r="C27" s="17">
        <f t="shared" si="21"/>
        <v>6</v>
      </c>
      <c r="D27" s="20" t="str">
        <f t="shared" si="22"/>
        <v>NORMAL</v>
      </c>
      <c r="E27" s="27" t="s">
        <v>52</v>
      </c>
      <c r="F27" s="25">
        <v>35.0</v>
      </c>
      <c r="G27" s="8"/>
      <c r="H27" s="28"/>
      <c r="I27" s="26"/>
      <c r="J27" s="1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2">
        <f t="shared" si="20"/>
        <v>0.4972886993</v>
      </c>
      <c r="B28" s="19"/>
      <c r="C28" s="17">
        <f t="shared" si="21"/>
        <v>5</v>
      </c>
      <c r="D28" s="18" t="str">
        <f t="shared" si="22"/>
        <v>NORMAL</v>
      </c>
      <c r="E28" s="6" t="s">
        <v>49</v>
      </c>
      <c r="F28" s="10">
        <v>43.0</v>
      </c>
      <c r="G28" s="8"/>
      <c r="H28" s="8"/>
      <c r="I28" s="16"/>
      <c r="J28" s="1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2">
        <f t="shared" si="20"/>
        <v>0.4577079455</v>
      </c>
      <c r="B29" s="19"/>
      <c r="C29" s="17">
        <f t="shared" si="21"/>
        <v>8</v>
      </c>
      <c r="D29" s="18" t="str">
        <f t="shared" si="22"/>
        <v>NORMAL</v>
      </c>
      <c r="E29" s="6" t="s">
        <v>49</v>
      </c>
      <c r="F29" s="29">
        <v>28.0</v>
      </c>
      <c r="G29" s="8"/>
      <c r="H29" s="8"/>
      <c r="I29" s="16"/>
      <c r="J29" s="1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2">
        <f t="shared" si="20"/>
        <v>0.8305663746</v>
      </c>
      <c r="B30" s="19"/>
      <c r="C30" s="17">
        <f t="shared" si="21"/>
        <v>1</v>
      </c>
      <c r="D30" s="20" t="str">
        <f t="shared" si="22"/>
        <v>ANOMALI</v>
      </c>
      <c r="E30" s="24" t="s">
        <v>51</v>
      </c>
      <c r="F30" s="25">
        <v>41.0</v>
      </c>
      <c r="G30" s="8"/>
      <c r="H30" s="8"/>
      <c r="I30" s="16"/>
      <c r="J30" s="16"/>
      <c r="K30" s="8"/>
      <c r="L30" s="8"/>
      <c r="M30" s="8" t="s">
        <v>53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2">
        <f t="shared" si="20"/>
        <v>0.3104518246</v>
      </c>
      <c r="B31" s="19"/>
      <c r="C31" s="17">
        <f t="shared" si="21"/>
        <v>8</v>
      </c>
      <c r="D31" s="18" t="str">
        <f t="shared" si="22"/>
        <v>NORMAL</v>
      </c>
      <c r="E31" s="30" t="s">
        <v>54</v>
      </c>
      <c r="F31" s="10">
        <v>30.0</v>
      </c>
      <c r="G31" s="8"/>
      <c r="H31" s="8"/>
      <c r="I31" s="16"/>
      <c r="J31" s="1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2">
        <f t="shared" si="20"/>
        <v>0.3965504512</v>
      </c>
      <c r="B32" s="19"/>
      <c r="C32" s="17">
        <f t="shared" si="21"/>
        <v>7</v>
      </c>
      <c r="D32" s="18" t="str">
        <f t="shared" si="22"/>
        <v>NORMAL</v>
      </c>
      <c r="E32" s="30" t="s">
        <v>54</v>
      </c>
      <c r="F32" s="10">
        <v>24.0</v>
      </c>
      <c r="G32" s="8"/>
      <c r="H32" s="8"/>
      <c r="I32" s="16"/>
      <c r="J32" s="1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2">
        <f t="shared" si="20"/>
        <v>0.3021438781</v>
      </c>
      <c r="B33" s="19"/>
      <c r="C33" s="17">
        <f t="shared" si="21"/>
        <v>9</v>
      </c>
      <c r="D33" s="18" t="str">
        <f t="shared" si="22"/>
        <v>NORMAL</v>
      </c>
      <c r="E33" s="6" t="s">
        <v>49</v>
      </c>
      <c r="F33" s="10">
        <v>1.0</v>
      </c>
      <c r="G33" s="8"/>
      <c r="H33" s="8"/>
      <c r="I33" s="16"/>
      <c r="J33" s="1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2">
        <f t="shared" si="20"/>
        <v>0.7549934344</v>
      </c>
      <c r="B34" s="19"/>
      <c r="C34" s="17">
        <f t="shared" si="21"/>
        <v>4</v>
      </c>
      <c r="D34" s="18" t="str">
        <f t="shared" si="22"/>
        <v>NORMAL</v>
      </c>
      <c r="E34" s="6" t="s">
        <v>49</v>
      </c>
      <c r="F34" s="10">
        <v>15.0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7"/>
      <c r="B35" s="7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2"/>
      <c r="AA38" s="32"/>
      <c r="AB38" s="32"/>
      <c r="AC38" s="32"/>
      <c r="AD38" s="32"/>
      <c r="AE38" s="32"/>
      <c r="AF38" s="32"/>
      <c r="AG38" s="32"/>
      <c r="AH38" s="32"/>
      <c r="AI38" s="32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7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 t="s">
        <v>55</v>
      </c>
      <c r="B42" s="8"/>
      <c r="C42" s="8"/>
      <c r="D42" s="8"/>
      <c r="E42" s="8"/>
      <c r="F42" s="8"/>
      <c r="G42" s="8"/>
      <c r="H42" s="8"/>
      <c r="I42" s="8"/>
      <c r="J42" s="8"/>
      <c r="K42" s="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" t="s">
        <v>0</v>
      </c>
      <c r="B43" s="3" t="s">
        <v>2</v>
      </c>
      <c r="C43" s="3" t="s">
        <v>4</v>
      </c>
      <c r="D43" s="3" t="s">
        <v>5</v>
      </c>
      <c r="E43" s="3" t="s">
        <v>7</v>
      </c>
      <c r="F43" s="3" t="s">
        <v>10</v>
      </c>
      <c r="G43" s="6" t="s">
        <v>12</v>
      </c>
      <c r="H43" s="6" t="s">
        <v>16</v>
      </c>
      <c r="I43" s="6" t="s">
        <v>19</v>
      </c>
      <c r="J43" s="6" t="s">
        <v>21</v>
      </c>
      <c r="K43" s="7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9">
        <v>45292.00069444445</v>
      </c>
      <c r="B44" s="10">
        <v>18.0</v>
      </c>
      <c r="C44" s="10">
        <v>76.54</v>
      </c>
      <c r="D44" s="10">
        <v>4.88</v>
      </c>
      <c r="E44" s="10">
        <v>33.93</v>
      </c>
      <c r="F44" s="10">
        <v>1363.7</v>
      </c>
      <c r="G44" s="11">
        <f t="shared" ref="G44:J44" si="23">(C44 - AVERAGE(C$44:C$58)) / _xlfn.STDEV.P(C$44:C$58)</f>
        <v>0.1394889672</v>
      </c>
      <c r="H44" s="11">
        <f t="shared" si="23"/>
        <v>0.4570858392</v>
      </c>
      <c r="I44" s="11">
        <f t="shared" si="23"/>
        <v>1.420970269</v>
      </c>
      <c r="J44" s="11">
        <f t="shared" si="23"/>
        <v>0.7264394489</v>
      </c>
      <c r="K44" s="12">
        <f t="shared" ref="K44:K58" si="25">SQRT(($G44-$G$44)^2+($H44-$H$44)^2+($I44-$I$44)^2+($J44-$J$44)^2)</f>
        <v>0</v>
      </c>
      <c r="L44" s="12">
        <f t="shared" ref="L44:L58" si="26">SQRT(($G44-$G$45)^2+($H44-$H$45)^2+($I44-$I$45)^2+($J44-$J$45)^2)</f>
        <v>3.187118992</v>
      </c>
      <c r="M44" s="12">
        <f t="shared" ref="M44:M58" si="27">SQRT(($G44-$G$46)^2+($H44-$H$46)^2+($I44-$I$46)^2+($J44-$J$46)^2)</f>
        <v>3.268712934</v>
      </c>
      <c r="N44" s="12">
        <f t="shared" ref="N44:N58" si="28">SQRT(($G44-$G$47)^2+($H44-$H$47)^2+($I44-$I$47)^2+($J44-$J$47)^2)</f>
        <v>2.808747511</v>
      </c>
      <c r="O44" s="12">
        <f t="shared" ref="O44:O58" si="29">SQRT(($G44-$G$48)^2+($H44-$H$48)^2+($I44-$I$48)^2+($J44-$J$48)^2)</f>
        <v>2.772598515</v>
      </c>
      <c r="P44" s="12">
        <f t="shared" ref="P44:P58" si="30">SQRT(($G44-$G$49)^2+($H44-$H$49)^2+($I44-$I$49)^2+($J44-$J$49)^2)</f>
        <v>4.851270843</v>
      </c>
      <c r="Q44" s="12">
        <f t="shared" ref="Q44:Q58" si="31">SQRT(($G44-$G$50)^2+($H44-$H$50)^2+($I44-$I$50)^2+($J44-$J$50)^2)</f>
        <v>1.850988141</v>
      </c>
      <c r="R44" s="12">
        <f t="shared" ref="R44:R58" si="32">SQRT(($G44-$G$51)^2+($H44-$H$51)^2+($I44-$I$51)^2+($J44-$J$51)^2)</f>
        <v>3.46669592</v>
      </c>
      <c r="S44" s="12">
        <f t="shared" ref="S44:S58" si="33">SQRT(($G44-$G$52)^2+($H44-$H$52)^2+($I44-$I$52)^2+($J44-$J$52)^2)</f>
        <v>0.9655351216</v>
      </c>
      <c r="T44" s="12">
        <f t="shared" ref="T44:T58" si="34">SQRT(($G44-$G$53)^2+($H44-$H$53)^2+($I44-$I$53)^2+($J44-$J$53)^2)</f>
        <v>2.410679771</v>
      </c>
      <c r="U44" s="12">
        <f t="shared" ref="U44:U58" si="35">SQRT(($G44-$G$54)^2+($H44-$H$54)^2+($I44-$I$54)^2+($J44-$J$54)^2)</f>
        <v>2.661433314</v>
      </c>
      <c r="V44" s="12">
        <f t="shared" ref="V44:V58" si="36">SQRT(($G44-$G$55)^2+($H44-$H$55)^2+($I44-$I$55)^2+($J44-$J$55)^2)</f>
        <v>1.21186929</v>
      </c>
      <c r="W44" s="12">
        <f t="shared" ref="W44:W58" si="37">SQRT(($G44-$G$56)^2+($H44-$H$56)^2+($I44-$I$56)^2+($J44-$J$56)^2)</f>
        <v>1.118593307</v>
      </c>
      <c r="X44" s="12">
        <f t="shared" ref="X44:X58" si="38">SQRT(($G44-$G$57)^2+($H44-$H$57)^2+($I44-$I$57)^2+($J44-$J$57)^2)</f>
        <v>1.141737726</v>
      </c>
      <c r="Y44" s="12">
        <f t="shared" ref="Y44:Y58" si="39">SQRT(($G44-$G$58)^2+($H44-$H$58)^2+($I44-$I$58)^2+($J44-$J$58)^2)</f>
        <v>2.894992641</v>
      </c>
    </row>
    <row r="45">
      <c r="A45" s="9">
        <v>45292.00069444445</v>
      </c>
      <c r="B45" s="10">
        <v>37.0</v>
      </c>
      <c r="C45" s="10">
        <v>73.02</v>
      </c>
      <c r="D45" s="10">
        <v>4.71</v>
      </c>
      <c r="E45" s="10">
        <v>30.56</v>
      </c>
      <c r="F45" s="10">
        <v>0.0</v>
      </c>
      <c r="G45" s="11">
        <f t="shared" ref="G45:J45" si="24">(C45 - AVERAGE(C$44:C$58)) / _xlfn.STDEV.P(C$44:C$58)</f>
        <v>-0.1876997253</v>
      </c>
      <c r="H45" s="11">
        <f t="shared" si="24"/>
        <v>0.2841527694</v>
      </c>
      <c r="I45" s="11">
        <f t="shared" si="24"/>
        <v>-0.9310286538</v>
      </c>
      <c r="J45" s="11">
        <f t="shared" si="24"/>
        <v>-1.392255964</v>
      </c>
      <c r="K45" s="12">
        <f t="shared" si="25"/>
        <v>3.187118992</v>
      </c>
      <c r="L45" s="12">
        <f t="shared" si="26"/>
        <v>0</v>
      </c>
      <c r="M45" s="12">
        <f t="shared" si="27"/>
        <v>3.328657435</v>
      </c>
      <c r="N45" s="12">
        <f t="shared" si="28"/>
        <v>0.9398068058</v>
      </c>
      <c r="O45" s="12">
        <f t="shared" si="29"/>
        <v>1.207624572</v>
      </c>
      <c r="P45" s="12">
        <f t="shared" si="30"/>
        <v>3.226045921</v>
      </c>
      <c r="Q45" s="12">
        <f t="shared" si="31"/>
        <v>2.179424355</v>
      </c>
      <c r="R45" s="12">
        <f t="shared" si="32"/>
        <v>3.201651442</v>
      </c>
      <c r="S45" s="12">
        <f t="shared" si="33"/>
        <v>3.936890492</v>
      </c>
      <c r="T45" s="12">
        <f t="shared" si="34"/>
        <v>2.073814622</v>
      </c>
      <c r="U45" s="12">
        <f t="shared" si="35"/>
        <v>3.979561812</v>
      </c>
      <c r="V45" s="12">
        <f t="shared" si="36"/>
        <v>2.368023218</v>
      </c>
      <c r="W45" s="12">
        <f t="shared" si="37"/>
        <v>2.527915864</v>
      </c>
      <c r="X45" s="12">
        <f t="shared" si="38"/>
        <v>2.57881491</v>
      </c>
      <c r="Y45" s="12">
        <f t="shared" si="39"/>
        <v>0.7385483308</v>
      </c>
    </row>
    <row r="46">
      <c r="A46" s="9">
        <v>45292.00069444445</v>
      </c>
      <c r="B46" s="10">
        <v>43.0</v>
      </c>
      <c r="C46" s="10">
        <v>77.21</v>
      </c>
      <c r="D46" s="10">
        <v>2.26</v>
      </c>
      <c r="E46" s="10">
        <v>31.22</v>
      </c>
      <c r="F46" s="10">
        <v>1366.1</v>
      </c>
      <c r="G46" s="11">
        <f t="shared" ref="G46:J46" si="40">(C46 - AVERAGE(C$44:C$58)) / _xlfn.STDEV.P(C$44:C$58)</f>
        <v>0.2017663604</v>
      </c>
      <c r="H46" s="11">
        <f t="shared" si="40"/>
        <v>-2.208117941</v>
      </c>
      <c r="I46" s="11">
        <f t="shared" si="40"/>
        <v>-0.4703997846</v>
      </c>
      <c r="J46" s="11">
        <f t="shared" si="40"/>
        <v>0.7301681788</v>
      </c>
      <c r="K46" s="12">
        <f t="shared" si="25"/>
        <v>3.268712934</v>
      </c>
      <c r="L46" s="12">
        <f t="shared" si="26"/>
        <v>3.328657435</v>
      </c>
      <c r="M46" s="12">
        <f t="shared" si="27"/>
        <v>0</v>
      </c>
      <c r="N46" s="12">
        <f t="shared" si="28"/>
        <v>3.08897593</v>
      </c>
      <c r="O46" s="12">
        <f t="shared" si="29"/>
        <v>3.100368732</v>
      </c>
      <c r="P46" s="12">
        <f t="shared" si="30"/>
        <v>5.443778716</v>
      </c>
      <c r="Q46" s="12">
        <f t="shared" si="31"/>
        <v>2.090723851</v>
      </c>
      <c r="R46" s="12">
        <f t="shared" si="32"/>
        <v>1.693167356</v>
      </c>
      <c r="S46" s="12">
        <f t="shared" si="33"/>
        <v>3.372361221</v>
      </c>
      <c r="T46" s="12">
        <f t="shared" si="34"/>
        <v>1.949258087</v>
      </c>
      <c r="U46" s="12">
        <f t="shared" si="35"/>
        <v>4.423706438</v>
      </c>
      <c r="V46" s="12">
        <f t="shared" si="36"/>
        <v>2.633566983</v>
      </c>
      <c r="W46" s="12">
        <f t="shared" si="37"/>
        <v>3.202572728</v>
      </c>
      <c r="X46" s="12">
        <f t="shared" si="38"/>
        <v>2.473110911</v>
      </c>
      <c r="Y46" s="12">
        <f t="shared" si="39"/>
        <v>3.036863193</v>
      </c>
    </row>
    <row r="47">
      <c r="A47" s="9">
        <v>45292.00069444445</v>
      </c>
      <c r="B47" s="10">
        <v>3.0</v>
      </c>
      <c r="C47" s="10">
        <v>68.86</v>
      </c>
      <c r="D47" s="10">
        <v>4.31</v>
      </c>
      <c r="E47" s="10">
        <v>31.64</v>
      </c>
      <c r="F47" s="10">
        <v>0.0</v>
      </c>
      <c r="G47" s="11">
        <f t="shared" ref="G47:J47" si="41">(C47 - AVERAGE(C$44:C$58)) / _xlfn.STDEV.P(C$44:C$58)</f>
        <v>-0.5743772709</v>
      </c>
      <c r="H47" s="11">
        <f t="shared" si="41"/>
        <v>-0.122748571</v>
      </c>
      <c r="I47" s="11">
        <f t="shared" si="41"/>
        <v>-0.1772723224</v>
      </c>
      <c r="J47" s="11">
        <f t="shared" si="41"/>
        <v>-1.392255964</v>
      </c>
      <c r="K47" s="12">
        <f t="shared" si="25"/>
        <v>2.808747511</v>
      </c>
      <c r="L47" s="12">
        <f t="shared" si="26"/>
        <v>0.9398068058</v>
      </c>
      <c r="M47" s="12">
        <f t="shared" si="27"/>
        <v>3.08897593</v>
      </c>
      <c r="N47" s="12">
        <f t="shared" si="28"/>
        <v>0</v>
      </c>
      <c r="O47" s="12">
        <f t="shared" si="29"/>
        <v>0.2742064953</v>
      </c>
      <c r="P47" s="12">
        <f t="shared" si="30"/>
        <v>4.038195989</v>
      </c>
      <c r="Q47" s="12">
        <f t="shared" si="31"/>
        <v>2.090573021</v>
      </c>
      <c r="R47" s="12">
        <f t="shared" si="32"/>
        <v>2.908361328</v>
      </c>
      <c r="S47" s="12">
        <f t="shared" si="33"/>
        <v>3.405242901</v>
      </c>
      <c r="T47" s="12">
        <f t="shared" si="34"/>
        <v>2.146283094</v>
      </c>
      <c r="U47" s="12">
        <f t="shared" si="35"/>
        <v>4.17469068</v>
      </c>
      <c r="V47" s="12">
        <f t="shared" si="36"/>
        <v>1.990070677</v>
      </c>
      <c r="W47" s="12">
        <f t="shared" si="37"/>
        <v>2.062450696</v>
      </c>
      <c r="X47" s="12">
        <f t="shared" si="38"/>
        <v>2.300755599</v>
      </c>
      <c r="Y47" s="12">
        <f t="shared" si="39"/>
        <v>0.2419029874</v>
      </c>
    </row>
    <row r="48">
      <c r="A48" s="9">
        <v>45292.00069444445</v>
      </c>
      <c r="B48" s="10">
        <v>13.0</v>
      </c>
      <c r="C48" s="10">
        <v>67.04</v>
      </c>
      <c r="D48" s="10">
        <v>4.22</v>
      </c>
      <c r="E48" s="10">
        <v>31.92</v>
      </c>
      <c r="F48" s="10">
        <v>0.0</v>
      </c>
      <c r="G48" s="11">
        <f t="shared" ref="G48:J48" si="42">(C48 - AVERAGE(C$44:C$58)) / _xlfn.STDEV.P(C$44:C$58)</f>
        <v>-0.7435486971</v>
      </c>
      <c r="H48" s="11">
        <f t="shared" si="42"/>
        <v>-0.2143013727</v>
      </c>
      <c r="I48" s="11">
        <f t="shared" si="42"/>
        <v>0.01814598576</v>
      </c>
      <c r="J48" s="11">
        <f t="shared" si="42"/>
        <v>-1.392255964</v>
      </c>
      <c r="K48" s="12">
        <f t="shared" si="25"/>
        <v>2.772598515</v>
      </c>
      <c r="L48" s="12">
        <f t="shared" si="26"/>
        <v>1.207624572</v>
      </c>
      <c r="M48" s="12">
        <f t="shared" si="27"/>
        <v>3.100368732</v>
      </c>
      <c r="N48" s="12">
        <f t="shared" si="28"/>
        <v>0.2742064953</v>
      </c>
      <c r="O48" s="12">
        <f t="shared" si="29"/>
        <v>0</v>
      </c>
      <c r="P48" s="12">
        <f t="shared" si="30"/>
        <v>4.297371018</v>
      </c>
      <c r="Q48" s="12">
        <f t="shared" si="31"/>
        <v>2.153517433</v>
      </c>
      <c r="R48" s="12">
        <f t="shared" si="32"/>
        <v>2.869243649</v>
      </c>
      <c r="S48" s="12">
        <f t="shared" si="33"/>
        <v>3.31105916</v>
      </c>
      <c r="T48" s="12">
        <f t="shared" si="34"/>
        <v>2.249213749</v>
      </c>
      <c r="U48" s="12">
        <f t="shared" si="35"/>
        <v>4.303401559</v>
      </c>
      <c r="V48" s="12">
        <f t="shared" si="36"/>
        <v>1.959379477</v>
      </c>
      <c r="W48" s="12">
        <f t="shared" si="37"/>
        <v>1.991392907</v>
      </c>
      <c r="X48" s="12">
        <f t="shared" si="38"/>
        <v>2.299829204</v>
      </c>
      <c r="Y48" s="12">
        <f t="shared" si="39"/>
        <v>0.506298184</v>
      </c>
    </row>
    <row r="49">
      <c r="A49" s="9">
        <v>45292.00069444445</v>
      </c>
      <c r="B49" s="10">
        <v>43.0</v>
      </c>
      <c r="C49" s="10">
        <v>99.18</v>
      </c>
      <c r="D49" s="10">
        <v>6.49</v>
      </c>
      <c r="E49" s="10">
        <v>28.98</v>
      </c>
      <c r="F49" s="10">
        <v>0.0</v>
      </c>
      <c r="G49" s="11">
        <f t="shared" ref="G49:J49" si="43">(C49 - AVERAGE(C$44:C$58)) / _xlfn.STDEV.P(C$44:C$58)</f>
        <v>2.243907148</v>
      </c>
      <c r="H49" s="11">
        <f t="shared" si="43"/>
        <v>2.094863735</v>
      </c>
      <c r="I49" s="11">
        <f t="shared" si="43"/>
        <v>-2.03374625</v>
      </c>
      <c r="J49" s="11">
        <f t="shared" si="43"/>
        <v>-1.392255964</v>
      </c>
      <c r="K49" s="12">
        <f t="shared" si="25"/>
        <v>4.851270843</v>
      </c>
      <c r="L49" s="12">
        <f t="shared" si="26"/>
        <v>3.226045921</v>
      </c>
      <c r="M49" s="12">
        <f t="shared" si="27"/>
        <v>5.443778716</v>
      </c>
      <c r="N49" s="12">
        <f t="shared" si="28"/>
        <v>4.038195989</v>
      </c>
      <c r="O49" s="12">
        <f t="shared" si="29"/>
        <v>4.297371018</v>
      </c>
      <c r="P49" s="12">
        <f t="shared" si="30"/>
        <v>0</v>
      </c>
      <c r="Q49" s="12">
        <f t="shared" si="31"/>
        <v>4.227706037</v>
      </c>
      <c r="R49" s="12">
        <f t="shared" si="32"/>
        <v>5.813992073</v>
      </c>
      <c r="S49" s="12">
        <f t="shared" si="33"/>
        <v>5.76252415</v>
      </c>
      <c r="T49" s="12">
        <f t="shared" si="34"/>
        <v>4.094621788</v>
      </c>
      <c r="U49" s="12">
        <f t="shared" si="35"/>
        <v>3.537030707</v>
      </c>
      <c r="V49" s="12">
        <f t="shared" si="36"/>
        <v>4.618061634</v>
      </c>
      <c r="W49" s="12">
        <f t="shared" si="37"/>
        <v>4.768646771</v>
      </c>
      <c r="X49" s="12">
        <f t="shared" si="38"/>
        <v>4.583731412</v>
      </c>
      <c r="Y49" s="12">
        <f t="shared" si="39"/>
        <v>3.857910796</v>
      </c>
    </row>
    <row r="50">
      <c r="A50" s="9">
        <v>45292.00069444445</v>
      </c>
      <c r="B50" s="10">
        <v>25.0</v>
      </c>
      <c r="C50" s="10">
        <v>73.58</v>
      </c>
      <c r="D50" s="10">
        <v>4.28</v>
      </c>
      <c r="E50" s="10">
        <v>31.46</v>
      </c>
      <c r="F50" s="10">
        <v>1313.0</v>
      </c>
      <c r="G50" s="11">
        <f t="shared" ref="G50:J50" si="44">(C50 - AVERAGE(C$44:C$58)) / _xlfn.STDEV.P(C$44:C$58)</f>
        <v>-0.1356469787</v>
      </c>
      <c r="H50" s="11">
        <f t="shared" si="44"/>
        <v>-0.1532661716</v>
      </c>
      <c r="I50" s="11">
        <f t="shared" si="44"/>
        <v>-0.3028983776</v>
      </c>
      <c r="J50" s="11">
        <f t="shared" si="44"/>
        <v>0.6476700293</v>
      </c>
      <c r="K50" s="12">
        <f t="shared" si="25"/>
        <v>1.850988141</v>
      </c>
      <c r="L50" s="12">
        <f t="shared" si="26"/>
        <v>2.179424355</v>
      </c>
      <c r="M50" s="12">
        <f t="shared" si="27"/>
        <v>2.090723851</v>
      </c>
      <c r="N50" s="12">
        <f t="shared" si="28"/>
        <v>2.090573021</v>
      </c>
      <c r="O50" s="12">
        <f t="shared" si="29"/>
        <v>2.153517433</v>
      </c>
      <c r="P50" s="12">
        <f t="shared" si="30"/>
        <v>4.227706037</v>
      </c>
      <c r="Q50" s="12">
        <f t="shared" si="31"/>
        <v>0</v>
      </c>
      <c r="R50" s="12">
        <f t="shared" si="32"/>
        <v>2.05537784</v>
      </c>
      <c r="S50" s="12">
        <f t="shared" si="33"/>
        <v>2.4659326</v>
      </c>
      <c r="T50" s="12">
        <f t="shared" si="34"/>
        <v>0.568233463</v>
      </c>
      <c r="U50" s="12">
        <f t="shared" si="35"/>
        <v>3.182482651</v>
      </c>
      <c r="V50" s="12">
        <f t="shared" si="36"/>
        <v>0.9404149449</v>
      </c>
      <c r="W50" s="12">
        <f t="shared" si="37"/>
        <v>1.542975693</v>
      </c>
      <c r="X50" s="12">
        <f t="shared" si="38"/>
        <v>0.7692644141</v>
      </c>
      <c r="Y50" s="12">
        <f t="shared" si="39"/>
        <v>2.062644889</v>
      </c>
    </row>
    <row r="51">
      <c r="A51" s="9">
        <v>45292.00069444445</v>
      </c>
      <c r="B51" s="10">
        <v>35.0</v>
      </c>
      <c r="C51" s="10">
        <v>60.31</v>
      </c>
      <c r="D51" s="10">
        <v>2.76</v>
      </c>
      <c r="E51" s="10">
        <v>30.7</v>
      </c>
      <c r="F51" s="10">
        <v>1426.3</v>
      </c>
      <c r="G51" s="11">
        <f t="shared" ref="G51:J51" si="45">(C51 - AVERAGE(C$44:C$58)) / _xlfn.STDEV.P(C$44:C$58)</f>
        <v>-1.369111169</v>
      </c>
      <c r="H51" s="11">
        <f t="shared" si="45"/>
        <v>-1.699491265</v>
      </c>
      <c r="I51" s="11">
        <f t="shared" si="45"/>
        <v>-0.8333194997</v>
      </c>
      <c r="J51" s="11">
        <f t="shared" si="45"/>
        <v>0.8236971543</v>
      </c>
      <c r="K51" s="12">
        <f t="shared" si="25"/>
        <v>3.46669592</v>
      </c>
      <c r="L51" s="12">
        <f t="shared" si="26"/>
        <v>3.201651442</v>
      </c>
      <c r="M51" s="12">
        <f t="shared" si="27"/>
        <v>1.693167356</v>
      </c>
      <c r="N51" s="12">
        <f t="shared" si="28"/>
        <v>2.908361328</v>
      </c>
      <c r="O51" s="12">
        <f t="shared" si="29"/>
        <v>2.869243649</v>
      </c>
      <c r="P51" s="12">
        <f t="shared" si="30"/>
        <v>5.813992073</v>
      </c>
      <c r="Q51" s="12">
        <f t="shared" si="31"/>
        <v>2.05537784</v>
      </c>
      <c r="R51" s="12">
        <f t="shared" si="32"/>
        <v>0</v>
      </c>
      <c r="S51" s="12">
        <f t="shared" si="33"/>
        <v>3.634185298</v>
      </c>
      <c r="T51" s="12">
        <f t="shared" si="34"/>
        <v>1.874736111</v>
      </c>
      <c r="U51" s="12">
        <f t="shared" si="35"/>
        <v>5.152693397</v>
      </c>
      <c r="V51" s="12">
        <f t="shared" si="36"/>
        <v>2.436354351</v>
      </c>
      <c r="W51" s="12">
        <f t="shared" si="37"/>
        <v>2.923384604</v>
      </c>
      <c r="X51" s="12">
        <f t="shared" si="38"/>
        <v>2.44378993</v>
      </c>
      <c r="Y51" s="12">
        <f t="shared" si="39"/>
        <v>2.907686966</v>
      </c>
    </row>
    <row r="52">
      <c r="A52" s="9">
        <v>45292.00069444445</v>
      </c>
      <c r="B52" s="10">
        <v>43.0</v>
      </c>
      <c r="C52" s="10">
        <v>74.8</v>
      </c>
      <c r="D52" s="10">
        <v>4.34</v>
      </c>
      <c r="E52" s="10">
        <v>34.94</v>
      </c>
      <c r="F52" s="10">
        <v>1574.7</v>
      </c>
      <c r="G52" s="11">
        <f t="shared" ref="G52:J52" si="46">(C52 - AVERAGE(C$44:C$58)) / _xlfn.STDEV.P(C$44:C$58)</f>
        <v>-0.02224635239</v>
      </c>
      <c r="H52" s="11">
        <f t="shared" si="46"/>
        <v>-0.09223097051</v>
      </c>
      <c r="I52" s="11">
        <f t="shared" si="46"/>
        <v>2.125872024</v>
      </c>
      <c r="J52" s="11">
        <f t="shared" si="46"/>
        <v>1.054256954</v>
      </c>
      <c r="K52" s="12">
        <f t="shared" si="25"/>
        <v>0.9655351216</v>
      </c>
      <c r="L52" s="12">
        <f t="shared" si="26"/>
        <v>3.936890492</v>
      </c>
      <c r="M52" s="12">
        <f t="shared" si="27"/>
        <v>3.372361221</v>
      </c>
      <c r="N52" s="12">
        <f t="shared" si="28"/>
        <v>3.405242901</v>
      </c>
      <c r="O52" s="12">
        <f t="shared" si="29"/>
        <v>3.31105916</v>
      </c>
      <c r="P52" s="12">
        <f t="shared" si="30"/>
        <v>5.76252415</v>
      </c>
      <c r="Q52" s="12">
        <f t="shared" si="31"/>
        <v>2.4659326</v>
      </c>
      <c r="R52" s="12">
        <f t="shared" si="32"/>
        <v>3.634185298</v>
      </c>
      <c r="S52" s="12">
        <f t="shared" si="33"/>
        <v>0</v>
      </c>
      <c r="T52" s="12">
        <f t="shared" si="34"/>
        <v>3.013392185</v>
      </c>
      <c r="U52" s="12">
        <f t="shared" si="35"/>
        <v>3.305469346</v>
      </c>
      <c r="V52" s="12">
        <f t="shared" si="36"/>
        <v>1.816942345</v>
      </c>
      <c r="W52" s="12">
        <f t="shared" si="37"/>
        <v>1.725881639</v>
      </c>
      <c r="X52" s="12">
        <f t="shared" si="38"/>
        <v>1.747725252</v>
      </c>
      <c r="Y52" s="12">
        <f t="shared" si="39"/>
        <v>3.521069028</v>
      </c>
    </row>
    <row r="53">
      <c r="A53" s="9">
        <v>45292.00069444445</v>
      </c>
      <c r="B53" s="10">
        <v>28.0</v>
      </c>
      <c r="C53" s="10">
        <v>73.8</v>
      </c>
      <c r="D53" s="10">
        <v>4.11</v>
      </c>
      <c r="E53" s="10">
        <v>30.69</v>
      </c>
      <c r="F53" s="10">
        <v>1273.5</v>
      </c>
      <c r="G53" s="11">
        <f t="shared" ref="G53:J53" si="47">(C53 - AVERAGE(C$44:C$58)) / _xlfn.STDEV.P(C$44:C$58)</f>
        <v>-0.1151976855</v>
      </c>
      <c r="H53" s="11">
        <f t="shared" si="47"/>
        <v>-0.3261992413</v>
      </c>
      <c r="I53" s="11">
        <f t="shared" si="47"/>
        <v>-0.840298725</v>
      </c>
      <c r="J53" s="11">
        <f t="shared" si="47"/>
        <v>0.5863013494</v>
      </c>
      <c r="K53" s="12">
        <f t="shared" si="25"/>
        <v>2.410679771</v>
      </c>
      <c r="L53" s="12">
        <f t="shared" si="26"/>
        <v>2.073814622</v>
      </c>
      <c r="M53" s="12">
        <f t="shared" si="27"/>
        <v>1.949258087</v>
      </c>
      <c r="N53" s="12">
        <f t="shared" si="28"/>
        <v>2.146283094</v>
      </c>
      <c r="O53" s="12">
        <f t="shared" si="29"/>
        <v>2.249213749</v>
      </c>
      <c r="P53" s="12">
        <f t="shared" si="30"/>
        <v>4.094621788</v>
      </c>
      <c r="Q53" s="12">
        <f t="shared" si="31"/>
        <v>0.568233463</v>
      </c>
      <c r="R53" s="12">
        <f t="shared" si="32"/>
        <v>1.874736111</v>
      </c>
      <c r="S53" s="12">
        <f t="shared" si="33"/>
        <v>3.013392185</v>
      </c>
      <c r="T53" s="12">
        <f t="shared" si="34"/>
        <v>0</v>
      </c>
      <c r="U53" s="12">
        <f t="shared" si="35"/>
        <v>3.446626965</v>
      </c>
      <c r="V53" s="12">
        <f t="shared" si="36"/>
        <v>1.466417835</v>
      </c>
      <c r="W53" s="12">
        <f t="shared" si="37"/>
        <v>2.048930067</v>
      </c>
      <c r="X53" s="12">
        <f t="shared" si="38"/>
        <v>1.335231587</v>
      </c>
      <c r="Y53" s="12">
        <f t="shared" si="39"/>
        <v>2.066680676</v>
      </c>
    </row>
    <row r="54">
      <c r="A54" s="9">
        <v>45292.00069444445</v>
      </c>
      <c r="B54" s="10">
        <v>41.0</v>
      </c>
      <c r="C54" s="10">
        <v>101.5</v>
      </c>
      <c r="D54" s="10">
        <v>5.85</v>
      </c>
      <c r="E54" s="10">
        <v>32.73</v>
      </c>
      <c r="F54" s="10">
        <v>1466.4</v>
      </c>
      <c r="G54" s="11">
        <f t="shared" ref="G54:J54" si="48">(C54 - AVERAGE(C$44:C$58)) / _xlfn.STDEV.P(C$44:C$58)</f>
        <v>2.459554241</v>
      </c>
      <c r="H54" s="11">
        <f t="shared" si="48"/>
        <v>1.44382159</v>
      </c>
      <c r="I54" s="11">
        <f t="shared" si="48"/>
        <v>0.5834632343</v>
      </c>
      <c r="J54" s="11">
        <f t="shared" si="48"/>
        <v>0.8859980167</v>
      </c>
      <c r="K54" s="12">
        <f t="shared" si="25"/>
        <v>2.661433314</v>
      </c>
      <c r="L54" s="12">
        <f t="shared" si="26"/>
        <v>3.979561812</v>
      </c>
      <c r="M54" s="12">
        <f t="shared" si="27"/>
        <v>4.423706438</v>
      </c>
      <c r="N54" s="12">
        <f t="shared" si="28"/>
        <v>4.17469068</v>
      </c>
      <c r="O54" s="12">
        <f t="shared" si="29"/>
        <v>4.303401559</v>
      </c>
      <c r="P54" s="12">
        <f t="shared" si="30"/>
        <v>3.537030707</v>
      </c>
      <c r="Q54" s="12">
        <f t="shared" si="31"/>
        <v>3.182482651</v>
      </c>
      <c r="R54" s="12">
        <f t="shared" si="32"/>
        <v>5.152693397</v>
      </c>
      <c r="S54" s="12">
        <f t="shared" si="33"/>
        <v>3.305469346</v>
      </c>
      <c r="T54" s="12">
        <f t="shared" si="34"/>
        <v>3.446626965</v>
      </c>
      <c r="U54" s="12">
        <f t="shared" si="35"/>
        <v>0</v>
      </c>
      <c r="V54" s="12">
        <f t="shared" si="36"/>
        <v>3.281895432</v>
      </c>
      <c r="W54" s="12">
        <f t="shared" si="37"/>
        <v>3.404493055</v>
      </c>
      <c r="X54" s="12">
        <f t="shared" si="38"/>
        <v>3.024318545</v>
      </c>
      <c r="Y54" s="12">
        <f t="shared" si="39"/>
        <v>4.117379045</v>
      </c>
    </row>
    <row r="55">
      <c r="A55" s="9">
        <v>45292.00069444445</v>
      </c>
      <c r="B55" s="10">
        <v>30.0</v>
      </c>
      <c r="C55" s="10">
        <v>69.52</v>
      </c>
      <c r="D55" s="10">
        <v>4.55</v>
      </c>
      <c r="E55" s="10">
        <v>32.6</v>
      </c>
      <c r="F55" s="10">
        <v>1195.2</v>
      </c>
      <c r="G55" s="11">
        <f t="shared" ref="G55:J55" si="49">(C55 - AVERAGE(C$44:C$58)) / _xlfn.STDEV.P(C$44:C$58)</f>
        <v>-0.5130293911</v>
      </c>
      <c r="H55" s="11">
        <f t="shared" si="49"/>
        <v>0.1213922332</v>
      </c>
      <c r="I55" s="11">
        <f t="shared" si="49"/>
        <v>0.4927333055</v>
      </c>
      <c r="J55" s="11">
        <f t="shared" si="49"/>
        <v>0.4646515358</v>
      </c>
      <c r="K55" s="12">
        <f t="shared" si="25"/>
        <v>1.21186929</v>
      </c>
      <c r="L55" s="12">
        <f t="shared" si="26"/>
        <v>2.368023218</v>
      </c>
      <c r="M55" s="12">
        <f t="shared" si="27"/>
        <v>2.633566983</v>
      </c>
      <c r="N55" s="12">
        <f t="shared" si="28"/>
        <v>1.990070677</v>
      </c>
      <c r="O55" s="12">
        <f t="shared" si="29"/>
        <v>1.959379477</v>
      </c>
      <c r="P55" s="12">
        <f t="shared" si="30"/>
        <v>4.618061634</v>
      </c>
      <c r="Q55" s="12">
        <f t="shared" si="31"/>
        <v>0.9404149449</v>
      </c>
      <c r="R55" s="12">
        <f t="shared" si="32"/>
        <v>2.436354351</v>
      </c>
      <c r="S55" s="12">
        <f t="shared" si="33"/>
        <v>1.816942345</v>
      </c>
      <c r="T55" s="12">
        <f t="shared" si="34"/>
        <v>1.466417835</v>
      </c>
      <c r="U55" s="12">
        <f t="shared" si="35"/>
        <v>3.281895432</v>
      </c>
      <c r="V55" s="12">
        <f t="shared" si="36"/>
        <v>0</v>
      </c>
      <c r="W55" s="12">
        <f t="shared" si="37"/>
        <v>0.6305158729</v>
      </c>
      <c r="X55" s="12">
        <f t="shared" si="38"/>
        <v>0.4504740095</v>
      </c>
      <c r="Y55" s="12">
        <f t="shared" si="39"/>
        <v>2.065981342</v>
      </c>
    </row>
    <row r="56">
      <c r="A56" s="9">
        <v>45292.00069444445</v>
      </c>
      <c r="B56" s="10">
        <v>24.0</v>
      </c>
      <c r="C56" s="10">
        <v>67.2</v>
      </c>
      <c r="D56" s="10">
        <v>4.91</v>
      </c>
      <c r="E56" s="10">
        <v>33.19</v>
      </c>
      <c r="F56" s="10">
        <v>1055.1</v>
      </c>
      <c r="G56" s="11">
        <f t="shared" ref="G56:J56" si="50">(C56 - AVERAGE(C$44:C$58)) / _xlfn.STDEV.P(C$44:C$58)</f>
        <v>-0.7286764838</v>
      </c>
      <c r="H56" s="11">
        <f t="shared" si="50"/>
        <v>0.4876034397</v>
      </c>
      <c r="I56" s="11">
        <f t="shared" si="50"/>
        <v>0.9045075977</v>
      </c>
      <c r="J56" s="11">
        <f t="shared" si="50"/>
        <v>0.2469869268</v>
      </c>
      <c r="K56" s="12">
        <f t="shared" si="25"/>
        <v>1.118593307</v>
      </c>
      <c r="L56" s="12">
        <f t="shared" si="26"/>
        <v>2.527915864</v>
      </c>
      <c r="M56" s="12">
        <f t="shared" si="27"/>
        <v>3.202572728</v>
      </c>
      <c r="N56" s="12">
        <f t="shared" si="28"/>
        <v>2.062450696</v>
      </c>
      <c r="O56" s="12">
        <f t="shared" si="29"/>
        <v>1.991392907</v>
      </c>
      <c r="P56" s="12">
        <f t="shared" si="30"/>
        <v>4.768646771</v>
      </c>
      <c r="Q56" s="12">
        <f t="shared" si="31"/>
        <v>1.542975693</v>
      </c>
      <c r="R56" s="12">
        <f t="shared" si="32"/>
        <v>2.923384604</v>
      </c>
      <c r="S56" s="12">
        <f t="shared" si="33"/>
        <v>1.725881639</v>
      </c>
      <c r="T56" s="12">
        <f t="shared" si="34"/>
        <v>2.048930067</v>
      </c>
      <c r="U56" s="12">
        <f t="shared" si="35"/>
        <v>3.404493055</v>
      </c>
      <c r="V56" s="12">
        <f t="shared" si="36"/>
        <v>0.6305158729</v>
      </c>
      <c r="W56" s="12">
        <f t="shared" si="37"/>
        <v>0</v>
      </c>
      <c r="X56" s="12">
        <f t="shared" si="38"/>
        <v>0.9886065174</v>
      </c>
      <c r="Y56" s="12">
        <f t="shared" si="39"/>
        <v>2.188909381</v>
      </c>
    </row>
    <row r="57">
      <c r="A57" s="9">
        <v>45292.00069444445</v>
      </c>
      <c r="B57" s="10">
        <v>1.0</v>
      </c>
      <c r="C57" s="10">
        <v>72.64</v>
      </c>
      <c r="D57" s="10">
        <v>4.49</v>
      </c>
      <c r="E57" s="10">
        <v>32.49</v>
      </c>
      <c r="F57" s="10">
        <v>1407.9</v>
      </c>
      <c r="G57" s="11">
        <f t="shared" ref="G57:J57" si="51">(C57 - AVERAGE(C$44:C$58)) / _xlfn.STDEV.P(C$44:C$58)</f>
        <v>-0.2230212318</v>
      </c>
      <c r="H57" s="11">
        <f t="shared" si="51"/>
        <v>0.06035703217</v>
      </c>
      <c r="I57" s="11">
        <f t="shared" si="51"/>
        <v>0.4159618273</v>
      </c>
      <c r="J57" s="11">
        <f t="shared" si="51"/>
        <v>0.7951102249</v>
      </c>
      <c r="K57" s="12">
        <f t="shared" si="25"/>
        <v>1.141737726</v>
      </c>
      <c r="L57" s="12">
        <f t="shared" si="26"/>
        <v>2.57881491</v>
      </c>
      <c r="M57" s="12">
        <f t="shared" si="27"/>
        <v>2.473110911</v>
      </c>
      <c r="N57" s="12">
        <f t="shared" si="28"/>
        <v>2.300755599</v>
      </c>
      <c r="O57" s="12">
        <f t="shared" si="29"/>
        <v>2.299829204</v>
      </c>
      <c r="P57" s="12">
        <f t="shared" si="30"/>
        <v>4.583731412</v>
      </c>
      <c r="Q57" s="12">
        <f t="shared" si="31"/>
        <v>0.7692644141</v>
      </c>
      <c r="R57" s="12">
        <f t="shared" si="32"/>
        <v>2.44378993</v>
      </c>
      <c r="S57" s="12">
        <f t="shared" si="33"/>
        <v>1.747725252</v>
      </c>
      <c r="T57" s="12">
        <f t="shared" si="34"/>
        <v>1.335231587</v>
      </c>
      <c r="U57" s="12">
        <f t="shared" si="35"/>
        <v>3.024318545</v>
      </c>
      <c r="V57" s="12">
        <f t="shared" si="36"/>
        <v>0.4504740095</v>
      </c>
      <c r="W57" s="12">
        <f t="shared" si="37"/>
        <v>0.9886065174</v>
      </c>
      <c r="X57" s="12">
        <f t="shared" si="38"/>
        <v>0</v>
      </c>
      <c r="Y57" s="12">
        <f t="shared" si="39"/>
        <v>2.342571179</v>
      </c>
    </row>
    <row r="58">
      <c r="A58" s="9">
        <v>45292.00069444445</v>
      </c>
      <c r="B58" s="10">
        <v>15.0</v>
      </c>
      <c r="C58" s="10">
        <v>70.39</v>
      </c>
      <c r="D58" s="10">
        <v>4.3</v>
      </c>
      <c r="E58" s="10">
        <v>31.36</v>
      </c>
      <c r="F58" s="10">
        <v>0.0</v>
      </c>
      <c r="G58" s="11">
        <f t="shared" ref="G58:J58" si="52">(C58 - AVERAGE(C$44:C$58)) / _xlfn.STDEV.P(C$44:C$58)</f>
        <v>-0.4321617313</v>
      </c>
      <c r="H58" s="11">
        <f t="shared" si="52"/>
        <v>-0.1329211046</v>
      </c>
      <c r="I58" s="11">
        <f t="shared" si="52"/>
        <v>-0.3726906305</v>
      </c>
      <c r="J58" s="11">
        <f t="shared" si="52"/>
        <v>-1.392255964</v>
      </c>
      <c r="K58" s="12">
        <f t="shared" si="25"/>
        <v>2.894992641</v>
      </c>
      <c r="L58" s="12">
        <f t="shared" si="26"/>
        <v>0.7385483308</v>
      </c>
      <c r="M58" s="12">
        <f t="shared" si="27"/>
        <v>3.036863193</v>
      </c>
      <c r="N58" s="12">
        <f t="shared" si="28"/>
        <v>0.2419029874</v>
      </c>
      <c r="O58" s="12">
        <f t="shared" si="29"/>
        <v>0.506298184</v>
      </c>
      <c r="P58" s="12">
        <f t="shared" si="30"/>
        <v>3.857910796</v>
      </c>
      <c r="Q58" s="12">
        <f t="shared" si="31"/>
        <v>2.062644889</v>
      </c>
      <c r="R58" s="12">
        <f t="shared" si="32"/>
        <v>2.907686966</v>
      </c>
      <c r="S58" s="12">
        <f t="shared" si="33"/>
        <v>3.521069028</v>
      </c>
      <c r="T58" s="12">
        <f t="shared" si="34"/>
        <v>2.066680676</v>
      </c>
      <c r="U58" s="12">
        <f t="shared" si="35"/>
        <v>4.117379045</v>
      </c>
      <c r="V58" s="12">
        <f t="shared" si="36"/>
        <v>2.065981342</v>
      </c>
      <c r="W58" s="12">
        <f t="shared" si="37"/>
        <v>2.188909381</v>
      </c>
      <c r="X58" s="12">
        <f t="shared" si="38"/>
        <v>2.342571179</v>
      </c>
      <c r="Y58" s="12">
        <f t="shared" si="39"/>
        <v>0</v>
      </c>
    </row>
    <row r="59">
      <c r="A59" s="13"/>
      <c r="B59" s="8"/>
      <c r="C59" s="8"/>
      <c r="D59" s="8"/>
      <c r="E59" s="8"/>
      <c r="F59" s="8"/>
      <c r="G59" s="8"/>
      <c r="H59" s="8"/>
      <c r="I59" s="8"/>
      <c r="J59" s="8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7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28" t="s">
        <v>56</v>
      </c>
      <c r="B61" s="8" t="s">
        <v>45</v>
      </c>
      <c r="C61" s="14" t="s">
        <v>46</v>
      </c>
      <c r="D61" s="15" t="s">
        <v>47</v>
      </c>
      <c r="E61" s="6" t="s">
        <v>48</v>
      </c>
      <c r="F61" s="3" t="s">
        <v>2</v>
      </c>
      <c r="G61" s="8"/>
      <c r="H61" s="8"/>
      <c r="I61" s="8"/>
      <c r="J61" s="8"/>
      <c r="K61" s="7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6">
        <f t="shared" ref="A62:A76" si="53">SMALL(K44:Y44, 5)</f>
        <v>1.21186929</v>
      </c>
      <c r="B62" s="16">
        <v>2.5</v>
      </c>
      <c r="C62" s="17">
        <f t="shared" ref="C62:C76" si="54">COUNTIF(K44:Y44, "&lt;2,5")</f>
        <v>7</v>
      </c>
      <c r="D62" s="33" t="str">
        <f t="shared" ref="D62:D76" si="55">IF(C62&gt;=4, "NORMAL", IF(C62&gt;=2, "WARNING", "ANOMALI"))</f>
        <v>NORMAL</v>
      </c>
      <c r="E62" s="6" t="s">
        <v>49</v>
      </c>
      <c r="F62" s="10">
        <v>18.0</v>
      </c>
      <c r="G62" s="8"/>
      <c r="H62" s="8"/>
      <c r="I62" s="8"/>
      <c r="J62" s="8"/>
      <c r="K62" s="7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6">
        <f t="shared" si="53"/>
        <v>2.073814622</v>
      </c>
      <c r="B63" s="7"/>
      <c r="C63" s="17">
        <f t="shared" si="54"/>
        <v>7</v>
      </c>
      <c r="D63" s="33" t="str">
        <f t="shared" si="55"/>
        <v>NORMAL</v>
      </c>
      <c r="E63" s="6" t="s">
        <v>49</v>
      </c>
      <c r="F63" s="34">
        <v>37.0</v>
      </c>
      <c r="G63" s="8"/>
      <c r="H63" s="8"/>
      <c r="I63" s="8"/>
      <c r="J63" s="8"/>
      <c r="K63" s="7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6">
        <f t="shared" si="53"/>
        <v>2.473110911</v>
      </c>
      <c r="B64" s="7"/>
      <c r="C64" s="17">
        <f t="shared" si="54"/>
        <v>5</v>
      </c>
      <c r="D64" s="20" t="str">
        <f t="shared" si="55"/>
        <v>NORMAL</v>
      </c>
      <c r="E64" s="21" t="s">
        <v>50</v>
      </c>
      <c r="F64" s="25">
        <v>43.0</v>
      </c>
      <c r="G64" s="8"/>
      <c r="H64" s="8"/>
      <c r="I64" s="8"/>
      <c r="J64" s="8"/>
      <c r="K64" s="7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6">
        <f t="shared" si="53"/>
        <v>1.990070677</v>
      </c>
      <c r="B65" s="8"/>
      <c r="C65" s="17">
        <f t="shared" si="54"/>
        <v>9</v>
      </c>
      <c r="D65" s="18" t="str">
        <f t="shared" si="55"/>
        <v>NORMAL</v>
      </c>
      <c r="E65" s="6" t="s">
        <v>49</v>
      </c>
      <c r="F65" s="25">
        <v>3.0</v>
      </c>
      <c r="G65" s="8"/>
      <c r="H65" s="8"/>
      <c r="I65" s="8"/>
      <c r="J65" s="8"/>
      <c r="K65" s="7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6">
        <f t="shared" si="53"/>
        <v>1.959379477</v>
      </c>
      <c r="B66" s="8"/>
      <c r="C66" s="17">
        <f t="shared" si="54"/>
        <v>9</v>
      </c>
      <c r="D66" s="33" t="str">
        <f t="shared" si="55"/>
        <v>NORMAL</v>
      </c>
      <c r="E66" s="6" t="s">
        <v>49</v>
      </c>
      <c r="F66" s="25">
        <v>13.0</v>
      </c>
      <c r="G66" s="8"/>
      <c r="H66" s="8"/>
      <c r="I66" s="8"/>
      <c r="J66" s="8"/>
      <c r="K66" s="7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6">
        <f t="shared" si="53"/>
        <v>4.038195989</v>
      </c>
      <c r="B67" s="8"/>
      <c r="C67" s="17">
        <f t="shared" si="54"/>
        <v>1</v>
      </c>
      <c r="D67" s="20" t="str">
        <f t="shared" si="55"/>
        <v>ANOMALI</v>
      </c>
      <c r="E67" s="24" t="s">
        <v>51</v>
      </c>
      <c r="F67" s="25">
        <v>43.0</v>
      </c>
      <c r="G67" s="8"/>
      <c r="H67" s="8"/>
      <c r="I67" s="8"/>
      <c r="J67" s="8"/>
      <c r="K67" s="7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6">
        <f t="shared" si="53"/>
        <v>1.542975693</v>
      </c>
      <c r="B68" s="8"/>
      <c r="C68" s="17">
        <f t="shared" si="54"/>
        <v>13</v>
      </c>
      <c r="D68" s="18" t="str">
        <f t="shared" si="55"/>
        <v>NORMAL</v>
      </c>
      <c r="E68" s="6" t="s">
        <v>49</v>
      </c>
      <c r="F68" s="10">
        <v>25.0</v>
      </c>
      <c r="G68" s="8"/>
      <c r="H68" s="8"/>
      <c r="I68" s="8"/>
      <c r="J68" s="8"/>
      <c r="K68" s="7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6">
        <f t="shared" si="53"/>
        <v>2.436354351</v>
      </c>
      <c r="B69" s="8"/>
      <c r="C69" s="17">
        <f t="shared" si="54"/>
        <v>6</v>
      </c>
      <c r="D69" s="20" t="str">
        <f t="shared" si="55"/>
        <v>NORMAL</v>
      </c>
      <c r="E69" s="27" t="s">
        <v>52</v>
      </c>
      <c r="F69" s="25">
        <v>35.0</v>
      </c>
      <c r="G69" s="8"/>
      <c r="H69" s="8"/>
      <c r="I69" s="8"/>
      <c r="J69" s="8"/>
      <c r="K69" s="7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6">
        <f t="shared" si="53"/>
        <v>1.816942345</v>
      </c>
      <c r="B70" s="8"/>
      <c r="C70" s="17">
        <f t="shared" si="54"/>
        <v>6</v>
      </c>
      <c r="D70" s="33" t="str">
        <f t="shared" si="55"/>
        <v>NORMAL</v>
      </c>
      <c r="E70" s="6" t="s">
        <v>49</v>
      </c>
      <c r="F70" s="10">
        <v>43.0</v>
      </c>
      <c r="G70" s="8"/>
      <c r="H70" s="8"/>
      <c r="I70" s="8"/>
      <c r="J70" s="8"/>
      <c r="K70" s="7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6">
        <f t="shared" si="53"/>
        <v>1.874736111</v>
      </c>
      <c r="B71" s="8"/>
      <c r="C71" s="17">
        <f t="shared" si="54"/>
        <v>12</v>
      </c>
      <c r="D71" s="33" t="str">
        <f t="shared" si="55"/>
        <v>NORMAL</v>
      </c>
      <c r="E71" s="6" t="s">
        <v>49</v>
      </c>
      <c r="F71" s="25">
        <v>28.0</v>
      </c>
      <c r="G71" s="8"/>
      <c r="H71" s="8"/>
      <c r="I71" s="8"/>
      <c r="J71" s="8"/>
      <c r="K71" s="7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6">
        <f t="shared" si="53"/>
        <v>3.281895432</v>
      </c>
      <c r="B72" s="8"/>
      <c r="C72" s="17">
        <f t="shared" si="54"/>
        <v>1</v>
      </c>
      <c r="D72" s="20" t="str">
        <f t="shared" si="55"/>
        <v>ANOMALI</v>
      </c>
      <c r="E72" s="24" t="s">
        <v>51</v>
      </c>
      <c r="F72" s="25">
        <v>41.0</v>
      </c>
      <c r="G72" s="8"/>
      <c r="H72" s="8"/>
      <c r="I72" s="8"/>
      <c r="J72" s="8"/>
      <c r="K72" s="7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6">
        <f t="shared" si="53"/>
        <v>1.21186929</v>
      </c>
      <c r="B73" s="8"/>
      <c r="C73" s="17">
        <f t="shared" si="54"/>
        <v>12</v>
      </c>
      <c r="D73" s="18" t="str">
        <f t="shared" si="55"/>
        <v>NORMAL</v>
      </c>
      <c r="E73" s="30" t="s">
        <v>54</v>
      </c>
      <c r="F73" s="10">
        <v>30.0</v>
      </c>
      <c r="G73" s="8"/>
      <c r="H73" s="8"/>
      <c r="I73" s="8"/>
      <c r="J73" s="8"/>
      <c r="K73" s="7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6">
        <f t="shared" si="53"/>
        <v>1.542975693</v>
      </c>
      <c r="B74" s="8"/>
      <c r="C74" s="17">
        <f t="shared" si="54"/>
        <v>10</v>
      </c>
      <c r="D74" s="33" t="str">
        <f t="shared" si="55"/>
        <v>NORMAL</v>
      </c>
      <c r="E74" s="30" t="s">
        <v>54</v>
      </c>
      <c r="F74" s="10">
        <v>24.0</v>
      </c>
      <c r="G74" s="8"/>
      <c r="H74" s="8"/>
      <c r="I74" s="8"/>
      <c r="J74" s="8"/>
      <c r="K74" s="7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6">
        <f t="shared" si="53"/>
        <v>1.141737726</v>
      </c>
      <c r="B75" s="8"/>
      <c r="C75" s="17">
        <f t="shared" si="54"/>
        <v>12</v>
      </c>
      <c r="D75" s="18" t="str">
        <f t="shared" si="55"/>
        <v>NORMAL</v>
      </c>
      <c r="E75" s="6" t="s">
        <v>49</v>
      </c>
      <c r="F75" s="10">
        <v>1.0</v>
      </c>
      <c r="G75" s="8"/>
      <c r="H75" s="8"/>
      <c r="I75" s="8"/>
      <c r="J75" s="8"/>
      <c r="K75" s="7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6">
        <f t="shared" si="53"/>
        <v>2.062644889</v>
      </c>
      <c r="B76" s="8"/>
      <c r="C76" s="17">
        <f t="shared" si="54"/>
        <v>9</v>
      </c>
      <c r="D76" s="18" t="str">
        <f t="shared" si="55"/>
        <v>NORMAL</v>
      </c>
      <c r="E76" s="6" t="s">
        <v>49</v>
      </c>
      <c r="F76" s="25">
        <v>15.0</v>
      </c>
      <c r="G76" s="8"/>
      <c r="H76" s="8"/>
      <c r="I76" s="8"/>
      <c r="J76" s="8"/>
      <c r="K76" s="7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7"/>
      <c r="B77" s="8"/>
      <c r="C77" s="7"/>
      <c r="D77" s="8"/>
      <c r="E77" s="8"/>
      <c r="F77" s="8"/>
      <c r="G77" s="8"/>
      <c r="H77" s="8"/>
      <c r="I77" s="8"/>
      <c r="J77" s="8"/>
      <c r="K77" s="7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35"/>
      <c r="B78" s="31"/>
      <c r="C78" s="31"/>
      <c r="D78" s="31"/>
      <c r="E78" s="31"/>
      <c r="F78" s="31"/>
      <c r="G78" s="31"/>
      <c r="H78" s="31"/>
      <c r="I78" s="31"/>
      <c r="J78" s="31"/>
      <c r="K78" s="35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2"/>
      <c r="AA78" s="32"/>
      <c r="AB78" s="32"/>
      <c r="AC78" s="32"/>
      <c r="AD78" s="32"/>
      <c r="AE78" s="32"/>
      <c r="AF78" s="32"/>
      <c r="AG78" s="32"/>
      <c r="AH78" s="32"/>
      <c r="AI78" s="32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7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 t="s">
        <v>57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3" t="s">
        <v>0</v>
      </c>
      <c r="B81" s="3" t="s">
        <v>2</v>
      </c>
      <c r="C81" s="3" t="s">
        <v>4</v>
      </c>
      <c r="D81" s="3" t="s">
        <v>5</v>
      </c>
      <c r="E81" s="3" t="s">
        <v>7</v>
      </c>
      <c r="F81" s="6" t="s">
        <v>10</v>
      </c>
      <c r="G81" s="36" t="s">
        <v>58</v>
      </c>
      <c r="H81" s="36" t="s">
        <v>59</v>
      </c>
      <c r="I81" s="36" t="s">
        <v>60</v>
      </c>
      <c r="J81" s="36" t="s">
        <v>61</v>
      </c>
      <c r="K81" s="37" t="s">
        <v>62</v>
      </c>
      <c r="L81" s="37" t="s">
        <v>63</v>
      </c>
      <c r="M81" s="37" t="s">
        <v>64</v>
      </c>
      <c r="N81" s="38" t="s">
        <v>65</v>
      </c>
      <c r="O81" s="38" t="s">
        <v>66</v>
      </c>
      <c r="P81" s="3" t="s">
        <v>67</v>
      </c>
      <c r="Q81" s="3" t="s">
        <v>68</v>
      </c>
      <c r="R81" s="3" t="s">
        <v>69</v>
      </c>
      <c r="S81" s="3" t="s">
        <v>70</v>
      </c>
      <c r="T81" s="3" t="s">
        <v>71</v>
      </c>
      <c r="U81" s="37" t="s">
        <v>62</v>
      </c>
      <c r="V81" s="37" t="s">
        <v>63</v>
      </c>
      <c r="W81" s="37" t="s">
        <v>64</v>
      </c>
      <c r="X81" s="38" t="s">
        <v>65</v>
      </c>
      <c r="Y81" s="38" t="s">
        <v>66</v>
      </c>
    </row>
    <row r="82">
      <c r="A82" s="39">
        <v>45292.00069444445</v>
      </c>
      <c r="B82" s="10">
        <v>18.0</v>
      </c>
      <c r="C82" s="10">
        <v>76.54</v>
      </c>
      <c r="D82" s="10">
        <v>4.88</v>
      </c>
      <c r="E82" s="10">
        <v>33.93</v>
      </c>
      <c r="F82" s="11">
        <v>1363.7</v>
      </c>
      <c r="G82" s="11">
        <f t="shared" ref="G82:J82" si="56">(C82 - AVERAGE(C$82:C$96)) / _xlfn.STDEV.P(C$82:C$96)</f>
        <v>0.1394889672</v>
      </c>
      <c r="H82" s="11">
        <f t="shared" si="56"/>
        <v>0.4570858392</v>
      </c>
      <c r="I82" s="11">
        <f t="shared" si="56"/>
        <v>1.420970269</v>
      </c>
      <c r="J82" s="11">
        <f t="shared" si="56"/>
        <v>0.7264394489</v>
      </c>
      <c r="K82" s="3" t="s">
        <v>67</v>
      </c>
      <c r="L82" s="40">
        <v>0.1394889671835402</v>
      </c>
      <c r="M82" s="40">
        <v>0.45708583915074225</v>
      </c>
      <c r="N82" s="40">
        <v>1.420970269163679</v>
      </c>
      <c r="O82" s="40">
        <v>0.7264394488782077</v>
      </c>
      <c r="P82" s="10">
        <f t="shared" ref="P82:P96" si="59">SQRT((G82-$L$82)^2 + (H82-$M$82)^2 + (I82-$N$82)^2+ (J82-$O$82)^2)</f>
        <v>0</v>
      </c>
      <c r="Q82" s="10">
        <f t="shared" ref="Q82:Q96" si="60">SQRT((G82-$L$83)^2 + (H82-$M$83)^2 + (I82-$N$83)^2+ (J82-$O$83)^2)</f>
        <v>3.46669592</v>
      </c>
      <c r="R82" s="10">
        <f t="shared" ref="R82:R96" si="61">SQRT((G82-$L$84)^2 + (H82-$M$84)^2 + (I82-$N$84)^2+ (J82-$O$84)^2)</f>
        <v>1.141737726</v>
      </c>
      <c r="S82" s="10">
        <f t="shared" ref="S82:S96" si="62">MIN(P82:R82)</f>
        <v>0</v>
      </c>
      <c r="T82" s="3" t="str">
        <f t="shared" ref="T82:T96" si="63">IFS(S82=P82, "C1", S82=Q82, "C2", S82=R82, "C3", S82=#REF!, "C4", S82=#REF!, "C5")</f>
        <v>C1</v>
      </c>
      <c r="U82" s="3" t="s">
        <v>67</v>
      </c>
      <c r="V82" s="40">
        <f t="shared" ref="V82:Y82" si="57">SUM(G82,G90,G92)/3</f>
        <v>0.8589322853</v>
      </c>
      <c r="W82" s="40">
        <f t="shared" si="57"/>
        <v>0.6028921528</v>
      </c>
      <c r="X82" s="40">
        <f t="shared" si="57"/>
        <v>1.376768509</v>
      </c>
      <c r="Y82" s="40">
        <f t="shared" si="57"/>
        <v>0.8888981399</v>
      </c>
    </row>
    <row r="83">
      <c r="A83" s="39">
        <v>45292.00069444445</v>
      </c>
      <c r="B83" s="10">
        <v>37.0</v>
      </c>
      <c r="C83" s="10">
        <v>73.02</v>
      </c>
      <c r="D83" s="10">
        <v>4.71</v>
      </c>
      <c r="E83" s="10">
        <v>30.56</v>
      </c>
      <c r="F83" s="11">
        <v>0.0</v>
      </c>
      <c r="G83" s="11">
        <f t="shared" ref="G83:J83" si="58">(C83 - AVERAGE(C$82:C$96)) / _xlfn.STDEV.P(C$82:C$96)</f>
        <v>-0.1876997253</v>
      </c>
      <c r="H83" s="11">
        <f t="shared" si="58"/>
        <v>0.2841527694</v>
      </c>
      <c r="I83" s="11">
        <f t="shared" si="58"/>
        <v>-0.9310286538</v>
      </c>
      <c r="J83" s="11">
        <f t="shared" si="58"/>
        <v>-1.392255964</v>
      </c>
      <c r="K83" s="3" t="s">
        <v>68</v>
      </c>
      <c r="L83" s="40">
        <v>-1.3691111687930484</v>
      </c>
      <c r="M83" s="40">
        <v>-1.6994912654477186</v>
      </c>
      <c r="N83" s="40">
        <v>-0.8333194996961877</v>
      </c>
      <c r="O83" s="40">
        <v>0.8236971542644053</v>
      </c>
      <c r="P83" s="10">
        <f t="shared" si="59"/>
        <v>3.187118992</v>
      </c>
      <c r="Q83" s="10">
        <f t="shared" si="60"/>
        <v>3.201651442</v>
      </c>
      <c r="R83" s="10">
        <f t="shared" si="61"/>
        <v>2.57881491</v>
      </c>
      <c r="S83" s="10">
        <f t="shared" si="62"/>
        <v>2.57881491</v>
      </c>
      <c r="T83" s="3" t="str">
        <f t="shared" si="63"/>
        <v>C3</v>
      </c>
      <c r="U83" s="3" t="s">
        <v>68</v>
      </c>
      <c r="V83" s="40">
        <f t="shared" ref="V83:Y83" si="64">sum(G84,G89)/2</f>
        <v>-0.5836724042</v>
      </c>
      <c r="W83" s="40">
        <f t="shared" si="64"/>
        <v>-1.953804603</v>
      </c>
      <c r="X83" s="40">
        <f t="shared" si="64"/>
        <v>-0.6518596421</v>
      </c>
      <c r="Y83" s="40">
        <f t="shared" si="64"/>
        <v>0.7769326665</v>
      </c>
    </row>
    <row r="84">
      <c r="A84" s="39">
        <v>45292.00069444445</v>
      </c>
      <c r="B84" s="10">
        <v>43.0</v>
      </c>
      <c r="C84" s="10">
        <v>77.21</v>
      </c>
      <c r="D84" s="10">
        <v>2.26</v>
      </c>
      <c r="E84" s="10">
        <v>31.22</v>
      </c>
      <c r="F84" s="11">
        <v>1366.1</v>
      </c>
      <c r="G84" s="11">
        <f t="shared" ref="G84:J84" si="65">(C84 - AVERAGE(C$82:C$96)) / _xlfn.STDEV.P(C$82:C$96)</f>
        <v>0.2017663604</v>
      </c>
      <c r="H84" s="11">
        <f t="shared" si="65"/>
        <v>-2.208117941</v>
      </c>
      <c r="I84" s="11">
        <f t="shared" si="65"/>
        <v>-0.4703997846</v>
      </c>
      <c r="J84" s="11">
        <f t="shared" si="65"/>
        <v>0.7301681788</v>
      </c>
      <c r="K84" s="3" t="s">
        <v>69</v>
      </c>
      <c r="L84" s="40">
        <v>-0.2230212318496516</v>
      </c>
      <c r="M84" s="40">
        <v>0.06035703217272389</v>
      </c>
      <c r="N84" s="40">
        <v>0.4159618273190342</v>
      </c>
      <c r="O84" s="40">
        <v>0.7951102248857148</v>
      </c>
      <c r="P84" s="10">
        <f t="shared" si="59"/>
        <v>3.268712934</v>
      </c>
      <c r="Q84" s="10">
        <f t="shared" si="60"/>
        <v>1.693167356</v>
      </c>
      <c r="R84" s="10">
        <f t="shared" si="61"/>
        <v>2.473110911</v>
      </c>
      <c r="S84" s="10">
        <f t="shared" si="62"/>
        <v>1.693167356</v>
      </c>
      <c r="T84" s="3" t="str">
        <f t="shared" si="63"/>
        <v>C2</v>
      </c>
      <c r="U84" s="3" t="s">
        <v>69</v>
      </c>
      <c r="V84" s="40">
        <f t="shared" ref="V84:Y84" si="66">SUM(G83,G85:G88,G91,G93:G96)/10</f>
        <v>-0.1409452047</v>
      </c>
      <c r="W84" s="40">
        <f t="shared" si="66"/>
        <v>0.2098932748</v>
      </c>
      <c r="X84" s="40">
        <f t="shared" si="66"/>
        <v>-0.2826586243</v>
      </c>
      <c r="Y84" s="40">
        <f t="shared" si="66"/>
        <v>-0.4220559753</v>
      </c>
    </row>
    <row r="85">
      <c r="A85" s="39">
        <v>45292.00069444445</v>
      </c>
      <c r="B85" s="10">
        <v>3.0</v>
      </c>
      <c r="C85" s="10">
        <v>68.86</v>
      </c>
      <c r="D85" s="10">
        <v>4.31</v>
      </c>
      <c r="E85" s="10">
        <v>31.64</v>
      </c>
      <c r="F85" s="11">
        <v>0.0</v>
      </c>
      <c r="G85" s="11">
        <f t="shared" ref="G85:J85" si="67">(C85 - AVERAGE(C$82:C$96)) / _xlfn.STDEV.P(C$82:C$96)</f>
        <v>-0.5743772709</v>
      </c>
      <c r="H85" s="11">
        <f t="shared" si="67"/>
        <v>-0.122748571</v>
      </c>
      <c r="I85" s="11">
        <f t="shared" si="67"/>
        <v>-0.1772723224</v>
      </c>
      <c r="J85" s="11">
        <f t="shared" si="67"/>
        <v>-1.392255964</v>
      </c>
      <c r="K85" s="8"/>
      <c r="L85" s="8"/>
      <c r="M85" s="8"/>
      <c r="N85" s="8"/>
      <c r="O85" s="8"/>
      <c r="P85" s="10">
        <f t="shared" si="59"/>
        <v>2.808747511</v>
      </c>
      <c r="Q85" s="10">
        <f t="shared" si="60"/>
        <v>2.908361328</v>
      </c>
      <c r="R85" s="10">
        <f t="shared" si="61"/>
        <v>2.300755599</v>
      </c>
      <c r="S85" s="10">
        <f t="shared" si="62"/>
        <v>2.300755599</v>
      </c>
      <c r="T85" s="3" t="str">
        <f t="shared" si="63"/>
        <v>C3</v>
      </c>
      <c r="U85" s="8"/>
      <c r="V85" s="8"/>
      <c r="W85" s="8"/>
      <c r="X85" s="8"/>
      <c r="Y85" s="8"/>
    </row>
    <row r="86">
      <c r="A86" s="39">
        <v>45292.00069444445</v>
      </c>
      <c r="B86" s="10">
        <v>13.0</v>
      </c>
      <c r="C86" s="10">
        <v>67.04</v>
      </c>
      <c r="D86" s="10">
        <v>4.22</v>
      </c>
      <c r="E86" s="10">
        <v>31.92</v>
      </c>
      <c r="F86" s="11">
        <v>0.0</v>
      </c>
      <c r="G86" s="11">
        <f t="shared" ref="G86:J86" si="68">(C86 - AVERAGE(C$82:C$96)) / _xlfn.STDEV.P(C$82:C$96)</f>
        <v>-0.7435486971</v>
      </c>
      <c r="H86" s="11">
        <f t="shared" si="68"/>
        <v>-0.2143013727</v>
      </c>
      <c r="I86" s="11">
        <f t="shared" si="68"/>
        <v>0.01814598576</v>
      </c>
      <c r="J86" s="11">
        <f t="shared" si="68"/>
        <v>-1.392255964</v>
      </c>
      <c r="K86" s="8"/>
      <c r="L86" s="8"/>
      <c r="M86" s="8"/>
      <c r="N86" s="8"/>
      <c r="O86" s="8"/>
      <c r="P86" s="10">
        <f t="shared" si="59"/>
        <v>2.772598515</v>
      </c>
      <c r="Q86" s="10">
        <f t="shared" si="60"/>
        <v>2.869243649</v>
      </c>
      <c r="R86" s="10">
        <f t="shared" si="61"/>
        <v>2.299829204</v>
      </c>
      <c r="S86" s="10">
        <f t="shared" si="62"/>
        <v>2.299829204</v>
      </c>
      <c r="T86" s="3" t="str">
        <f t="shared" si="63"/>
        <v>C3</v>
      </c>
      <c r="U86" s="8"/>
      <c r="V86" s="8"/>
      <c r="W86" s="8"/>
      <c r="X86" s="8"/>
      <c r="Y86" s="8"/>
    </row>
    <row r="87">
      <c r="A87" s="39">
        <v>45292.00069444445</v>
      </c>
      <c r="B87" s="10">
        <v>43.0</v>
      </c>
      <c r="C87" s="10">
        <v>99.18</v>
      </c>
      <c r="D87" s="10">
        <v>6.49</v>
      </c>
      <c r="E87" s="10">
        <v>28.98</v>
      </c>
      <c r="F87" s="11">
        <v>0.0</v>
      </c>
      <c r="G87" s="11">
        <f t="shared" ref="G87:J87" si="69">(C87 - AVERAGE(C$82:C$96)) / _xlfn.STDEV.P(C$82:C$96)</f>
        <v>2.243907148</v>
      </c>
      <c r="H87" s="11">
        <f t="shared" si="69"/>
        <v>2.094863735</v>
      </c>
      <c r="I87" s="11">
        <f t="shared" si="69"/>
        <v>-2.03374625</v>
      </c>
      <c r="J87" s="11">
        <f t="shared" si="69"/>
        <v>-1.392255964</v>
      </c>
      <c r="K87" s="8"/>
      <c r="L87" s="8"/>
      <c r="M87" s="8"/>
      <c r="N87" s="8"/>
      <c r="O87" s="8"/>
      <c r="P87" s="10">
        <f t="shared" si="59"/>
        <v>4.851270843</v>
      </c>
      <c r="Q87" s="10">
        <f t="shared" si="60"/>
        <v>5.813992073</v>
      </c>
      <c r="R87" s="10">
        <f t="shared" si="61"/>
        <v>4.583731412</v>
      </c>
      <c r="S87" s="10">
        <f t="shared" si="62"/>
        <v>4.583731412</v>
      </c>
      <c r="T87" s="3" t="str">
        <f t="shared" si="63"/>
        <v>C3</v>
      </c>
      <c r="U87" s="8"/>
      <c r="V87" s="8"/>
      <c r="W87" s="8"/>
      <c r="X87" s="8"/>
      <c r="Y87" s="8"/>
    </row>
    <row r="88">
      <c r="A88" s="39">
        <v>45292.00069444445</v>
      </c>
      <c r="B88" s="10">
        <v>25.0</v>
      </c>
      <c r="C88" s="10">
        <v>73.58</v>
      </c>
      <c r="D88" s="10">
        <v>4.28</v>
      </c>
      <c r="E88" s="10">
        <v>31.46</v>
      </c>
      <c r="F88" s="11">
        <v>1313.0</v>
      </c>
      <c r="G88" s="11">
        <f t="shared" ref="G88:J88" si="70">(C88 - AVERAGE(C$82:C$96)) / _xlfn.STDEV.P(C$82:C$96)</f>
        <v>-0.1356469787</v>
      </c>
      <c r="H88" s="11">
        <f t="shared" si="70"/>
        <v>-0.1532661716</v>
      </c>
      <c r="I88" s="11">
        <f t="shared" si="70"/>
        <v>-0.3028983776</v>
      </c>
      <c r="J88" s="11">
        <f t="shared" si="70"/>
        <v>0.6476700293</v>
      </c>
      <c r="K88" s="8"/>
      <c r="L88" s="8"/>
      <c r="M88" s="8"/>
      <c r="N88" s="8"/>
      <c r="O88" s="8"/>
      <c r="P88" s="10">
        <f t="shared" si="59"/>
        <v>1.850988141</v>
      </c>
      <c r="Q88" s="10">
        <f t="shared" si="60"/>
        <v>2.05537784</v>
      </c>
      <c r="R88" s="10">
        <f t="shared" si="61"/>
        <v>0.7692644141</v>
      </c>
      <c r="S88" s="10">
        <f t="shared" si="62"/>
        <v>0.7692644141</v>
      </c>
      <c r="T88" s="3" t="str">
        <f t="shared" si="63"/>
        <v>C3</v>
      </c>
      <c r="U88" s="8"/>
      <c r="V88" s="8"/>
      <c r="W88" s="8"/>
      <c r="X88" s="8"/>
      <c r="Y88" s="8"/>
    </row>
    <row r="89">
      <c r="A89" s="39">
        <v>45292.00069444445</v>
      </c>
      <c r="B89" s="10">
        <v>35.0</v>
      </c>
      <c r="C89" s="10">
        <v>60.31</v>
      </c>
      <c r="D89" s="10">
        <v>2.76</v>
      </c>
      <c r="E89" s="10">
        <v>30.7</v>
      </c>
      <c r="F89" s="11">
        <v>1426.3</v>
      </c>
      <c r="G89" s="11">
        <f t="shared" ref="G89:J89" si="71">(C89 - AVERAGE(C$82:C$96)) / _xlfn.STDEV.P(C$82:C$96)</f>
        <v>-1.369111169</v>
      </c>
      <c r="H89" s="11">
        <f t="shared" si="71"/>
        <v>-1.699491265</v>
      </c>
      <c r="I89" s="11">
        <f t="shared" si="71"/>
        <v>-0.8333194997</v>
      </c>
      <c r="J89" s="11">
        <f t="shared" si="71"/>
        <v>0.8236971543</v>
      </c>
      <c r="K89" s="8"/>
      <c r="L89" s="8"/>
      <c r="M89" s="8"/>
      <c r="N89" s="8"/>
      <c r="O89" s="8"/>
      <c r="P89" s="10">
        <f t="shared" si="59"/>
        <v>3.46669592</v>
      </c>
      <c r="Q89" s="10">
        <f t="shared" si="60"/>
        <v>0</v>
      </c>
      <c r="R89" s="10">
        <f t="shared" si="61"/>
        <v>2.44378993</v>
      </c>
      <c r="S89" s="10">
        <f t="shared" si="62"/>
        <v>0</v>
      </c>
      <c r="T89" s="3" t="str">
        <f t="shared" si="63"/>
        <v>C2</v>
      </c>
      <c r="U89" s="8"/>
      <c r="V89" s="8"/>
      <c r="W89" s="8"/>
      <c r="X89" s="8"/>
      <c r="Y89" s="8"/>
    </row>
    <row r="90">
      <c r="A90" s="39">
        <v>45292.00069444445</v>
      </c>
      <c r="B90" s="10">
        <v>43.0</v>
      </c>
      <c r="C90" s="10">
        <v>74.8</v>
      </c>
      <c r="D90" s="10">
        <v>4.34</v>
      </c>
      <c r="E90" s="10">
        <v>34.94</v>
      </c>
      <c r="F90" s="11">
        <v>1574.7</v>
      </c>
      <c r="G90" s="11">
        <f t="shared" ref="G90:J90" si="72">(C90 - AVERAGE(C$82:C$96)) / _xlfn.STDEV.P(C$82:C$96)</f>
        <v>-0.02224635239</v>
      </c>
      <c r="H90" s="11">
        <f t="shared" si="72"/>
        <v>-0.09223097051</v>
      </c>
      <c r="I90" s="11">
        <f t="shared" si="72"/>
        <v>2.125872024</v>
      </c>
      <c r="J90" s="11">
        <f t="shared" si="72"/>
        <v>1.054256954</v>
      </c>
      <c r="K90" s="8"/>
      <c r="L90" s="8"/>
      <c r="M90" s="8"/>
      <c r="N90" s="8"/>
      <c r="O90" s="8"/>
      <c r="P90" s="10">
        <f t="shared" si="59"/>
        <v>0.9655351216</v>
      </c>
      <c r="Q90" s="10">
        <f t="shared" si="60"/>
        <v>3.634185298</v>
      </c>
      <c r="R90" s="10">
        <f t="shared" si="61"/>
        <v>1.747725252</v>
      </c>
      <c r="S90" s="10">
        <f t="shared" si="62"/>
        <v>0.9655351216</v>
      </c>
      <c r="T90" s="3" t="str">
        <f t="shared" si="63"/>
        <v>C1</v>
      </c>
      <c r="U90" s="8"/>
      <c r="V90" s="8"/>
      <c r="W90" s="8"/>
      <c r="X90" s="8"/>
      <c r="Y90" s="8"/>
    </row>
    <row r="91">
      <c r="A91" s="39">
        <v>45292.00069444445</v>
      </c>
      <c r="B91" s="10">
        <v>28.0</v>
      </c>
      <c r="C91" s="10">
        <v>73.8</v>
      </c>
      <c r="D91" s="10">
        <v>4.11</v>
      </c>
      <c r="E91" s="10">
        <v>30.69</v>
      </c>
      <c r="F91" s="11">
        <v>1273.5</v>
      </c>
      <c r="G91" s="11">
        <f t="shared" ref="G91:J91" si="73">(C91 - AVERAGE(C$82:C$96)) / _xlfn.STDEV.P(C$82:C$96)</f>
        <v>-0.1151976855</v>
      </c>
      <c r="H91" s="11">
        <f t="shared" si="73"/>
        <v>-0.3261992413</v>
      </c>
      <c r="I91" s="11">
        <f t="shared" si="73"/>
        <v>-0.840298725</v>
      </c>
      <c r="J91" s="11">
        <f t="shared" si="73"/>
        <v>0.5863013494</v>
      </c>
      <c r="K91" s="8"/>
      <c r="L91" s="8"/>
      <c r="M91" s="8"/>
      <c r="N91" s="8"/>
      <c r="O91" s="8"/>
      <c r="P91" s="10">
        <f t="shared" si="59"/>
        <v>2.410679771</v>
      </c>
      <c r="Q91" s="10">
        <f t="shared" si="60"/>
        <v>1.874736111</v>
      </c>
      <c r="R91" s="10">
        <f t="shared" si="61"/>
        <v>1.335231587</v>
      </c>
      <c r="S91" s="10">
        <f t="shared" si="62"/>
        <v>1.335231587</v>
      </c>
      <c r="T91" s="3" t="str">
        <f t="shared" si="63"/>
        <v>C3</v>
      </c>
      <c r="U91" s="8"/>
      <c r="V91" s="8"/>
      <c r="W91" s="8"/>
      <c r="X91" s="8"/>
      <c r="Y91" s="8"/>
    </row>
    <row r="92">
      <c r="A92" s="39">
        <v>45292.00069444445</v>
      </c>
      <c r="B92" s="10">
        <v>41.0</v>
      </c>
      <c r="C92" s="10">
        <v>101.5</v>
      </c>
      <c r="D92" s="10">
        <v>5.85</v>
      </c>
      <c r="E92" s="10">
        <v>32.73</v>
      </c>
      <c r="F92" s="11">
        <v>1466.4</v>
      </c>
      <c r="G92" s="11">
        <f t="shared" ref="G92:J92" si="74">(C92 - AVERAGE(C$82:C$96)) / _xlfn.STDEV.P(C$82:C$96)</f>
        <v>2.459554241</v>
      </c>
      <c r="H92" s="11">
        <f t="shared" si="74"/>
        <v>1.44382159</v>
      </c>
      <c r="I92" s="11">
        <f t="shared" si="74"/>
        <v>0.5834632343</v>
      </c>
      <c r="J92" s="11">
        <f t="shared" si="74"/>
        <v>0.8859980167</v>
      </c>
      <c r="K92" s="8"/>
      <c r="L92" s="8"/>
      <c r="M92" s="8"/>
      <c r="N92" s="8"/>
      <c r="O92" s="8"/>
      <c r="P92" s="10">
        <f t="shared" si="59"/>
        <v>2.661433314</v>
      </c>
      <c r="Q92" s="10">
        <f t="shared" si="60"/>
        <v>5.152693397</v>
      </c>
      <c r="R92" s="10">
        <f t="shared" si="61"/>
        <v>3.024318545</v>
      </c>
      <c r="S92" s="10">
        <f t="shared" si="62"/>
        <v>2.661433314</v>
      </c>
      <c r="T92" s="3" t="str">
        <f t="shared" si="63"/>
        <v>C1</v>
      </c>
      <c r="U92" s="8"/>
      <c r="V92" s="8"/>
      <c r="W92" s="8"/>
      <c r="X92" s="8"/>
      <c r="Y92" s="8"/>
    </row>
    <row r="93">
      <c r="A93" s="39">
        <v>45292.00069444445</v>
      </c>
      <c r="B93" s="10">
        <v>30.0</v>
      </c>
      <c r="C93" s="10">
        <v>69.52</v>
      </c>
      <c r="D93" s="10">
        <v>4.55</v>
      </c>
      <c r="E93" s="10">
        <v>32.6</v>
      </c>
      <c r="F93" s="11">
        <v>1195.2</v>
      </c>
      <c r="G93" s="11">
        <f t="shared" ref="G93:J93" si="75">(C93 - AVERAGE(C$82:C$96)) / _xlfn.STDEV.P(C$82:C$96)</f>
        <v>-0.5130293911</v>
      </c>
      <c r="H93" s="11">
        <f t="shared" si="75"/>
        <v>0.1213922332</v>
      </c>
      <c r="I93" s="11">
        <f t="shared" si="75"/>
        <v>0.4927333055</v>
      </c>
      <c r="J93" s="11">
        <f t="shared" si="75"/>
        <v>0.4646515358</v>
      </c>
      <c r="K93" s="8"/>
      <c r="L93" s="8"/>
      <c r="M93" s="8"/>
      <c r="N93" s="8"/>
      <c r="O93" s="8"/>
      <c r="P93" s="10">
        <f t="shared" si="59"/>
        <v>1.21186929</v>
      </c>
      <c r="Q93" s="10">
        <f t="shared" si="60"/>
        <v>2.436354351</v>
      </c>
      <c r="R93" s="10">
        <f t="shared" si="61"/>
        <v>0.4504740095</v>
      </c>
      <c r="S93" s="10">
        <f t="shared" si="62"/>
        <v>0.4504740095</v>
      </c>
      <c r="T93" s="3" t="str">
        <f t="shared" si="63"/>
        <v>C3</v>
      </c>
      <c r="U93" s="8"/>
      <c r="V93" s="8"/>
      <c r="W93" s="8"/>
      <c r="X93" s="8"/>
      <c r="Y93" s="8"/>
    </row>
    <row r="94">
      <c r="A94" s="39">
        <v>45292.00069444445</v>
      </c>
      <c r="B94" s="10">
        <v>24.0</v>
      </c>
      <c r="C94" s="10">
        <v>67.2</v>
      </c>
      <c r="D94" s="10">
        <v>4.91</v>
      </c>
      <c r="E94" s="10">
        <v>33.19</v>
      </c>
      <c r="F94" s="11">
        <v>1055.1</v>
      </c>
      <c r="G94" s="11">
        <f t="shared" ref="G94:J94" si="76">(C94 - AVERAGE(C$82:C$96)) / _xlfn.STDEV.P(C$82:C$96)</f>
        <v>-0.7286764838</v>
      </c>
      <c r="H94" s="11">
        <f t="shared" si="76"/>
        <v>0.4876034397</v>
      </c>
      <c r="I94" s="11">
        <f t="shared" si="76"/>
        <v>0.9045075977</v>
      </c>
      <c r="J94" s="11">
        <f t="shared" si="76"/>
        <v>0.2469869268</v>
      </c>
      <c r="K94" s="8"/>
      <c r="L94" s="8"/>
      <c r="M94" s="8"/>
      <c r="N94" s="8"/>
      <c r="O94" s="8"/>
      <c r="P94" s="10">
        <f t="shared" si="59"/>
        <v>1.118593307</v>
      </c>
      <c r="Q94" s="10">
        <f t="shared" si="60"/>
        <v>2.923384604</v>
      </c>
      <c r="R94" s="10">
        <f t="shared" si="61"/>
        <v>0.9886065174</v>
      </c>
      <c r="S94" s="10">
        <f t="shared" si="62"/>
        <v>0.9886065174</v>
      </c>
      <c r="T94" s="3" t="str">
        <f t="shared" si="63"/>
        <v>C3</v>
      </c>
      <c r="U94" s="8"/>
      <c r="V94" s="8"/>
      <c r="W94" s="8"/>
      <c r="X94" s="8"/>
      <c r="Y94" s="8"/>
    </row>
    <row r="95">
      <c r="A95" s="39">
        <v>45292.00069444445</v>
      </c>
      <c r="B95" s="10">
        <v>1.0</v>
      </c>
      <c r="C95" s="10">
        <v>72.64</v>
      </c>
      <c r="D95" s="10">
        <v>4.49</v>
      </c>
      <c r="E95" s="10">
        <v>32.49</v>
      </c>
      <c r="F95" s="11">
        <v>1407.9</v>
      </c>
      <c r="G95" s="11">
        <f t="shared" ref="G95:J95" si="77">(C95 - AVERAGE(C$82:C$96)) / _xlfn.STDEV.P(C$82:C$96)</f>
        <v>-0.2230212318</v>
      </c>
      <c r="H95" s="11">
        <f t="shared" si="77"/>
        <v>0.06035703217</v>
      </c>
      <c r="I95" s="11">
        <f t="shared" si="77"/>
        <v>0.4159618273</v>
      </c>
      <c r="J95" s="11">
        <f t="shared" si="77"/>
        <v>0.7951102249</v>
      </c>
      <c r="K95" s="8"/>
      <c r="L95" s="8"/>
      <c r="M95" s="8"/>
      <c r="N95" s="8"/>
      <c r="O95" s="8"/>
      <c r="P95" s="10">
        <f t="shared" si="59"/>
        <v>1.141737726</v>
      </c>
      <c r="Q95" s="10">
        <f t="shared" si="60"/>
        <v>2.44378993</v>
      </c>
      <c r="R95" s="10">
        <f t="shared" si="61"/>
        <v>0</v>
      </c>
      <c r="S95" s="10">
        <f t="shared" si="62"/>
        <v>0</v>
      </c>
      <c r="T95" s="3" t="str">
        <f t="shared" si="63"/>
        <v>C3</v>
      </c>
      <c r="U95" s="8"/>
      <c r="V95" s="8"/>
      <c r="W95" s="8"/>
      <c r="X95" s="8"/>
      <c r="Y95" s="8"/>
    </row>
    <row r="96">
      <c r="A96" s="39">
        <v>45292.00069444445</v>
      </c>
      <c r="B96" s="10">
        <v>15.0</v>
      </c>
      <c r="C96" s="10">
        <v>70.39</v>
      </c>
      <c r="D96" s="10">
        <v>4.3</v>
      </c>
      <c r="E96" s="10">
        <v>31.36</v>
      </c>
      <c r="F96" s="11">
        <v>0.0</v>
      </c>
      <c r="G96" s="11">
        <f t="shared" ref="G96:J96" si="78">(C96 - AVERAGE(C$82:C$96)) / _xlfn.STDEV.P(C$82:C$96)</f>
        <v>-0.4321617313</v>
      </c>
      <c r="H96" s="11">
        <f t="shared" si="78"/>
        <v>-0.1329211046</v>
      </c>
      <c r="I96" s="11">
        <f t="shared" si="78"/>
        <v>-0.3726906305</v>
      </c>
      <c r="J96" s="11">
        <f t="shared" si="78"/>
        <v>-1.392255964</v>
      </c>
      <c r="K96" s="8"/>
      <c r="L96" s="8"/>
      <c r="M96" s="8"/>
      <c r="N96" s="8"/>
      <c r="O96" s="8"/>
      <c r="P96" s="10">
        <f t="shared" si="59"/>
        <v>2.894992641</v>
      </c>
      <c r="Q96" s="10">
        <f t="shared" si="60"/>
        <v>2.907686966</v>
      </c>
      <c r="R96" s="10">
        <f t="shared" si="61"/>
        <v>2.342571179</v>
      </c>
      <c r="S96" s="10">
        <f t="shared" si="62"/>
        <v>2.342571179</v>
      </c>
      <c r="T96" s="3" t="str">
        <f t="shared" si="63"/>
        <v>C3</v>
      </c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3" t="s">
        <v>67</v>
      </c>
      <c r="B100" s="3" t="s">
        <v>68</v>
      </c>
      <c r="C100" s="3" t="s">
        <v>69</v>
      </c>
      <c r="D100" s="3" t="s">
        <v>70</v>
      </c>
      <c r="E100" s="41" t="s">
        <v>71</v>
      </c>
      <c r="F100" s="37" t="s">
        <v>62</v>
      </c>
      <c r="G100" s="37" t="s">
        <v>63</v>
      </c>
      <c r="H100" s="37" t="s">
        <v>64</v>
      </c>
      <c r="I100" s="38" t="s">
        <v>65</v>
      </c>
      <c r="J100" s="38" t="s">
        <v>66</v>
      </c>
      <c r="K100" s="3" t="s">
        <v>67</v>
      </c>
      <c r="L100" s="3" t="s">
        <v>68</v>
      </c>
      <c r="M100" s="3" t="s">
        <v>69</v>
      </c>
      <c r="N100" s="3" t="s">
        <v>70</v>
      </c>
      <c r="O100" s="41" t="s">
        <v>71</v>
      </c>
      <c r="P100" s="42" t="s">
        <v>72</v>
      </c>
      <c r="Q100" s="6" t="s">
        <v>48</v>
      </c>
      <c r="R100" s="8"/>
      <c r="S100" s="8"/>
      <c r="T100" s="8"/>
      <c r="U100" s="8"/>
      <c r="V100" s="8"/>
      <c r="W100" s="8"/>
      <c r="X100" s="8"/>
      <c r="Y100" s="8"/>
    </row>
    <row r="101">
      <c r="A101" s="10">
        <f t="shared" ref="A101:A115" si="80">SQRT((G82-$AF$82)^2 + (H82-$AG$82)^2 + (I82-$AH$82)^2+ (J82-$AI$82)^2)</f>
        <v>1.665909786</v>
      </c>
      <c r="B101" s="10">
        <f t="shared" ref="B101:B115" si="81">SQRT((G82-$AF$83)^2 + (H82-$AG$83)^2 + (I82-$AH$83)^2+ (J82-$AI$83)^2)</f>
        <v>1.665909786</v>
      </c>
      <c r="C101" s="10">
        <f t="shared" ref="C101:C115" si="82">SQRT((G82-$AF$84)^2 + (H82-$AG$84)^2 + (I82-$AH$84)^2+ (J82-$AI$84)^2)</f>
        <v>1.665909786</v>
      </c>
      <c r="D101" s="10">
        <f t="shared" ref="D101:D115" si="83">MIN(A101:C101)</f>
        <v>1.665909786</v>
      </c>
      <c r="E101" s="41" t="str">
        <f t="shared" ref="E101:E115" si="84">IFS(D101=A101, "C1", D101=B101, "C2", D101=C101, "C3", D101=#REF!, "C4", D101=#REF!, "C5")</f>
        <v>C1</v>
      </c>
      <c r="F101" s="3" t="s">
        <v>67</v>
      </c>
      <c r="G101" s="40">
        <f t="shared" ref="G101:J101" si="79">SUM(G82,G90,G92)/3</f>
        <v>0.8589322853</v>
      </c>
      <c r="H101" s="40">
        <f t="shared" si="79"/>
        <v>0.6028921528</v>
      </c>
      <c r="I101" s="40">
        <f t="shared" si="79"/>
        <v>1.376768509</v>
      </c>
      <c r="J101" s="40">
        <f t="shared" si="79"/>
        <v>0.8888981399</v>
      </c>
      <c r="K101" s="10">
        <f t="shared" ref="K101:K115" si="86">SQRT((G82-$G$101)^2 + (H82-$H$101)^2 + (I82-$I$101)^2+ (J82-$J$101)^2)</f>
        <v>0.753129996</v>
      </c>
      <c r="L101" s="10">
        <f t="shared" ref="L101:L115" si="87">SQRT((G82-$G$102)^2 + (H82-$H$102)^2 + (I82-$I$102)^2+ (J82-$J$102)^2)</f>
        <v>3.26106248</v>
      </c>
      <c r="M101" s="10">
        <f t="shared" ref="M101:M115" si="88">SQRT((G82-$G$103)^2 + (H82-$H$103)^2 + (I82-$I$103)^2+ (J82-$J$103)^2)</f>
        <v>2.088334416</v>
      </c>
      <c r="N101" s="10">
        <f t="shared" ref="N101:N115" si="89">MIN(K101:M101)</f>
        <v>0.753129996</v>
      </c>
      <c r="O101" s="41" t="str">
        <f t="shared" ref="O101:O115" si="90">IFS(N101=K101, "C1", N101=L101, "C2", N101=M101, "C3", N101=#REF!, "C4", N101=#REF!, "C5")</f>
        <v>C1</v>
      </c>
      <c r="P101" s="42" t="str">
        <f t="shared" ref="P101:P115" si="91">IF(O101="C3", "NORMAL", IF(O101="C1", "WARNING", "ANOMALI"))</f>
        <v>WARNING</v>
      </c>
      <c r="Q101" s="6" t="s">
        <v>49</v>
      </c>
      <c r="R101" s="8"/>
      <c r="S101" s="8"/>
      <c r="T101" s="8"/>
      <c r="U101" s="8"/>
      <c r="V101" s="8"/>
      <c r="W101" s="8"/>
      <c r="X101" s="8"/>
      <c r="Y101" s="8"/>
    </row>
    <row r="102">
      <c r="A102" s="10">
        <f t="shared" si="80"/>
        <v>1.709141599</v>
      </c>
      <c r="B102" s="10">
        <f t="shared" si="81"/>
        <v>1.709141599</v>
      </c>
      <c r="C102" s="10">
        <f t="shared" si="82"/>
        <v>1.709141599</v>
      </c>
      <c r="D102" s="10">
        <f t="shared" si="83"/>
        <v>1.709141599</v>
      </c>
      <c r="E102" s="41" t="str">
        <f t="shared" si="84"/>
        <v>C1</v>
      </c>
      <c r="F102" s="3" t="s">
        <v>68</v>
      </c>
      <c r="G102" s="40">
        <f t="shared" ref="G102:J102" si="85">sum(G84,G89)/2</f>
        <v>-0.5836724042</v>
      </c>
      <c r="H102" s="40">
        <f t="shared" si="85"/>
        <v>-1.953804603</v>
      </c>
      <c r="I102" s="40">
        <f t="shared" si="85"/>
        <v>-0.6518596421</v>
      </c>
      <c r="J102" s="40">
        <f t="shared" si="85"/>
        <v>0.7769326665</v>
      </c>
      <c r="K102" s="10">
        <f t="shared" si="86"/>
        <v>3.42441603</v>
      </c>
      <c r="L102" s="10">
        <f t="shared" si="87"/>
        <v>3.154134147</v>
      </c>
      <c r="M102" s="10">
        <f t="shared" si="88"/>
        <v>1.170201765</v>
      </c>
      <c r="N102" s="10">
        <f t="shared" si="89"/>
        <v>1.170201765</v>
      </c>
      <c r="O102" s="41" t="str">
        <f t="shared" si="90"/>
        <v>C3</v>
      </c>
      <c r="P102" s="42" t="str">
        <f t="shared" si="91"/>
        <v>NORMAL</v>
      </c>
      <c r="Q102" s="6" t="s">
        <v>49</v>
      </c>
      <c r="R102" s="8"/>
      <c r="S102" s="8"/>
      <c r="T102" s="8"/>
      <c r="U102" s="8"/>
      <c r="V102" s="8"/>
      <c r="W102" s="8"/>
      <c r="X102" s="8"/>
      <c r="Y102" s="8"/>
    </row>
    <row r="103">
      <c r="A103" s="10">
        <f t="shared" si="80"/>
        <v>2.381368521</v>
      </c>
      <c r="B103" s="10">
        <f t="shared" si="81"/>
        <v>2.381368521</v>
      </c>
      <c r="C103" s="10">
        <f t="shared" si="82"/>
        <v>2.381368521</v>
      </c>
      <c r="D103" s="10">
        <f t="shared" si="83"/>
        <v>2.381368521</v>
      </c>
      <c r="E103" s="41" t="str">
        <f t="shared" si="84"/>
        <v>C1</v>
      </c>
      <c r="F103" s="3" t="s">
        <v>69</v>
      </c>
      <c r="G103" s="40">
        <f t="shared" ref="G103:J103" si="92">SUM(G83,G85:G88,G91,G93:G96)/10</f>
        <v>-0.1409452047</v>
      </c>
      <c r="H103" s="40">
        <f t="shared" si="92"/>
        <v>0.2098932748</v>
      </c>
      <c r="I103" s="40">
        <f t="shared" si="92"/>
        <v>-0.2826586243</v>
      </c>
      <c r="J103" s="40">
        <f t="shared" si="92"/>
        <v>-0.4220559753</v>
      </c>
      <c r="K103" s="10">
        <f t="shared" si="86"/>
        <v>3.430870255</v>
      </c>
      <c r="L103" s="10">
        <f t="shared" si="87"/>
        <v>0.846583678</v>
      </c>
      <c r="M103" s="10">
        <f t="shared" si="88"/>
        <v>2.706861042</v>
      </c>
      <c r="N103" s="10">
        <f t="shared" si="89"/>
        <v>0.846583678</v>
      </c>
      <c r="O103" s="41" t="str">
        <f t="shared" si="90"/>
        <v>C2</v>
      </c>
      <c r="P103" s="42" t="str">
        <f t="shared" si="91"/>
        <v>ANOMALI</v>
      </c>
      <c r="Q103" s="21" t="s">
        <v>50</v>
      </c>
      <c r="R103" s="8"/>
      <c r="S103" s="8"/>
      <c r="T103" s="8"/>
      <c r="U103" s="8"/>
      <c r="V103" s="8"/>
      <c r="W103" s="8"/>
      <c r="X103" s="8"/>
      <c r="Y103" s="8"/>
    </row>
    <row r="104">
      <c r="A104" s="10">
        <f t="shared" si="80"/>
        <v>1.521439649</v>
      </c>
      <c r="B104" s="10">
        <f t="shared" si="81"/>
        <v>1.521439649</v>
      </c>
      <c r="C104" s="10">
        <f t="shared" si="82"/>
        <v>1.521439649</v>
      </c>
      <c r="D104" s="10">
        <f t="shared" si="83"/>
        <v>1.521439649</v>
      </c>
      <c r="E104" s="41" t="str">
        <f t="shared" si="84"/>
        <v>C1</v>
      </c>
      <c r="F104" s="8"/>
      <c r="G104" s="8"/>
      <c r="H104" s="8"/>
      <c r="I104" s="8"/>
      <c r="J104" s="8"/>
      <c r="K104" s="10">
        <f t="shared" si="86"/>
        <v>3.193687163</v>
      </c>
      <c r="L104" s="10">
        <f t="shared" si="87"/>
        <v>2.878100942</v>
      </c>
      <c r="M104" s="10">
        <f t="shared" si="88"/>
        <v>1.118440094</v>
      </c>
      <c r="N104" s="10">
        <f t="shared" si="89"/>
        <v>1.118440094</v>
      </c>
      <c r="O104" s="41" t="str">
        <f t="shared" si="90"/>
        <v>C3</v>
      </c>
      <c r="P104" s="42" t="str">
        <f t="shared" si="91"/>
        <v>NORMAL</v>
      </c>
      <c r="Q104" s="6" t="s">
        <v>49</v>
      </c>
      <c r="R104" s="8"/>
      <c r="S104" s="8"/>
      <c r="T104" s="8"/>
      <c r="U104" s="8"/>
      <c r="V104" s="8"/>
      <c r="W104" s="8"/>
      <c r="X104" s="8"/>
      <c r="Y104" s="8"/>
    </row>
    <row r="105">
      <c r="A105" s="10">
        <f t="shared" si="80"/>
        <v>1.592951879</v>
      </c>
      <c r="B105" s="10">
        <f t="shared" si="81"/>
        <v>1.592951879</v>
      </c>
      <c r="C105" s="10">
        <f t="shared" si="82"/>
        <v>1.592951879</v>
      </c>
      <c r="D105" s="10">
        <f t="shared" si="83"/>
        <v>1.592951879</v>
      </c>
      <c r="E105" s="41" t="str">
        <f t="shared" si="84"/>
        <v>C1</v>
      </c>
      <c r="F105" s="8"/>
      <c r="G105" s="8"/>
      <c r="H105" s="8"/>
      <c r="I105" s="8"/>
      <c r="J105" s="8"/>
      <c r="K105" s="10">
        <f t="shared" si="86"/>
        <v>3.2070656</v>
      </c>
      <c r="L105" s="10">
        <f t="shared" si="87"/>
        <v>2.86456258</v>
      </c>
      <c r="M105" s="10">
        <f t="shared" si="88"/>
        <v>1.254927687</v>
      </c>
      <c r="N105" s="10">
        <f t="shared" si="89"/>
        <v>1.254927687</v>
      </c>
      <c r="O105" s="41" t="str">
        <f t="shared" si="90"/>
        <v>C3</v>
      </c>
      <c r="P105" s="42" t="str">
        <f t="shared" si="91"/>
        <v>NORMAL</v>
      </c>
      <c r="Q105" s="6" t="s">
        <v>49</v>
      </c>
      <c r="R105" s="8"/>
      <c r="S105" s="8"/>
      <c r="T105" s="8"/>
      <c r="U105" s="8"/>
      <c r="V105" s="8"/>
      <c r="W105" s="8"/>
      <c r="X105" s="8"/>
      <c r="Y105" s="8"/>
    </row>
    <row r="106">
      <c r="A106" s="10">
        <f t="shared" si="80"/>
        <v>3.936759306</v>
      </c>
      <c r="B106" s="10">
        <f t="shared" si="81"/>
        <v>3.936759306</v>
      </c>
      <c r="C106" s="10">
        <f t="shared" si="82"/>
        <v>3.936759306</v>
      </c>
      <c r="D106" s="10">
        <f t="shared" si="83"/>
        <v>3.936759306</v>
      </c>
      <c r="E106" s="41" t="str">
        <f t="shared" si="84"/>
        <v>C1</v>
      </c>
      <c r="F106" s="8"/>
      <c r="G106" s="8"/>
      <c r="H106" s="8"/>
      <c r="I106" s="8"/>
      <c r="J106" s="8"/>
      <c r="K106" s="10">
        <f t="shared" si="86"/>
        <v>4.58032854</v>
      </c>
      <c r="L106" s="10">
        <f t="shared" si="87"/>
        <v>5.567936004</v>
      </c>
      <c r="M106" s="10">
        <f t="shared" si="88"/>
        <v>3.639811845</v>
      </c>
      <c r="N106" s="10">
        <f t="shared" si="89"/>
        <v>3.639811845</v>
      </c>
      <c r="O106" s="41" t="str">
        <f t="shared" si="90"/>
        <v>C3</v>
      </c>
      <c r="P106" s="42" t="str">
        <f t="shared" si="91"/>
        <v>NORMAL</v>
      </c>
      <c r="Q106" s="24" t="s">
        <v>51</v>
      </c>
      <c r="R106" s="8"/>
      <c r="S106" s="8"/>
      <c r="T106" s="8"/>
      <c r="U106" s="8"/>
      <c r="V106" s="8"/>
      <c r="W106" s="8"/>
      <c r="X106" s="8"/>
      <c r="Y106" s="8"/>
    </row>
    <row r="107">
      <c r="A107" s="10">
        <f t="shared" si="80"/>
        <v>0.7437166909</v>
      </c>
      <c r="B107" s="10">
        <f t="shared" si="81"/>
        <v>0.7437166909</v>
      </c>
      <c r="C107" s="10">
        <f t="shared" si="82"/>
        <v>0.7437166909</v>
      </c>
      <c r="D107" s="10">
        <f t="shared" si="83"/>
        <v>0.7437166909</v>
      </c>
      <c r="E107" s="41" t="str">
        <f t="shared" si="84"/>
        <v>C1</v>
      </c>
      <c r="F107" s="8"/>
      <c r="G107" s="8"/>
      <c r="H107" s="8"/>
      <c r="I107" s="8"/>
      <c r="J107" s="8"/>
      <c r="K107" s="10">
        <f t="shared" si="86"/>
        <v>2.107234011</v>
      </c>
      <c r="L107" s="10">
        <f t="shared" si="87"/>
        <v>1.892392195</v>
      </c>
      <c r="M107" s="10">
        <f t="shared" si="88"/>
        <v>1.12988328</v>
      </c>
      <c r="N107" s="10">
        <f t="shared" si="89"/>
        <v>1.12988328</v>
      </c>
      <c r="O107" s="41" t="str">
        <f t="shared" si="90"/>
        <v>C3</v>
      </c>
      <c r="P107" s="42" t="str">
        <f t="shared" si="91"/>
        <v>NORMAL</v>
      </c>
      <c r="Q107" s="6" t="s">
        <v>49</v>
      </c>
      <c r="R107" s="8"/>
      <c r="S107" s="8"/>
      <c r="T107" s="8"/>
      <c r="U107" s="8"/>
      <c r="V107" s="8"/>
      <c r="W107" s="8"/>
      <c r="X107" s="8"/>
      <c r="Y107" s="8"/>
    </row>
    <row r="108">
      <c r="A108" s="10">
        <f t="shared" si="80"/>
        <v>2.477021264</v>
      </c>
      <c r="B108" s="10">
        <f t="shared" si="81"/>
        <v>2.477021264</v>
      </c>
      <c r="C108" s="10">
        <f t="shared" si="82"/>
        <v>2.477021264</v>
      </c>
      <c r="D108" s="10">
        <f t="shared" si="83"/>
        <v>2.477021264</v>
      </c>
      <c r="E108" s="41" t="str">
        <f t="shared" si="84"/>
        <v>C1</v>
      </c>
      <c r="F108" s="8"/>
      <c r="G108" s="8"/>
      <c r="H108" s="8"/>
      <c r="I108" s="8"/>
      <c r="J108" s="8"/>
      <c r="K108" s="10">
        <f t="shared" si="86"/>
        <v>3.892799406</v>
      </c>
      <c r="L108" s="10">
        <f t="shared" si="87"/>
        <v>0.846583678</v>
      </c>
      <c r="M108" s="10">
        <f t="shared" si="88"/>
        <v>2.647502449</v>
      </c>
      <c r="N108" s="10">
        <f t="shared" si="89"/>
        <v>0.846583678</v>
      </c>
      <c r="O108" s="41" t="str">
        <f t="shared" si="90"/>
        <v>C2</v>
      </c>
      <c r="P108" s="42" t="str">
        <f t="shared" si="91"/>
        <v>ANOMALI</v>
      </c>
      <c r="Q108" s="27" t="s">
        <v>52</v>
      </c>
      <c r="R108" s="8"/>
      <c r="S108" s="8"/>
      <c r="T108" s="8"/>
      <c r="U108" s="8"/>
      <c r="V108" s="8"/>
      <c r="W108" s="8"/>
      <c r="X108" s="8"/>
      <c r="Y108" s="8"/>
    </row>
    <row r="109">
      <c r="A109" s="10">
        <f t="shared" si="80"/>
        <v>2.374824423</v>
      </c>
      <c r="B109" s="10">
        <f t="shared" si="81"/>
        <v>2.374824423</v>
      </c>
      <c r="C109" s="10">
        <f t="shared" si="82"/>
        <v>2.374824423</v>
      </c>
      <c r="D109" s="10">
        <f t="shared" si="83"/>
        <v>2.374824423</v>
      </c>
      <c r="E109" s="41" t="str">
        <f t="shared" si="84"/>
        <v>C1</v>
      </c>
      <c r="F109" s="8"/>
      <c r="G109" s="8"/>
      <c r="H109" s="8"/>
      <c r="I109" s="8"/>
      <c r="J109" s="8"/>
      <c r="K109" s="10">
        <f t="shared" si="86"/>
        <v>1.359474737</v>
      </c>
      <c r="L109" s="10">
        <f t="shared" si="87"/>
        <v>3.401963781</v>
      </c>
      <c r="M109" s="10">
        <f t="shared" si="88"/>
        <v>2.843569627</v>
      </c>
      <c r="N109" s="10">
        <f t="shared" si="89"/>
        <v>1.359474737</v>
      </c>
      <c r="O109" s="41" t="str">
        <f t="shared" si="90"/>
        <v>C1</v>
      </c>
      <c r="P109" s="42" t="str">
        <f t="shared" si="91"/>
        <v>WARNING</v>
      </c>
      <c r="Q109" s="6" t="s">
        <v>49</v>
      </c>
      <c r="R109" s="8"/>
      <c r="S109" s="8"/>
      <c r="T109" s="8"/>
      <c r="U109" s="8"/>
      <c r="V109" s="8"/>
      <c r="W109" s="8"/>
      <c r="X109" s="8"/>
      <c r="Y109" s="8"/>
    </row>
    <row r="110">
      <c r="A110" s="10">
        <f t="shared" si="80"/>
        <v>1.081447027</v>
      </c>
      <c r="B110" s="10">
        <f t="shared" si="81"/>
        <v>1.081447027</v>
      </c>
      <c r="C110" s="10">
        <f t="shared" si="82"/>
        <v>1.081447027</v>
      </c>
      <c r="D110" s="10">
        <f t="shared" si="83"/>
        <v>1.081447027</v>
      </c>
      <c r="E110" s="41" t="str">
        <f t="shared" si="84"/>
        <v>C1</v>
      </c>
      <c r="F110" s="8"/>
      <c r="G110" s="8"/>
      <c r="H110" s="8"/>
      <c r="I110" s="8"/>
      <c r="J110" s="8"/>
      <c r="K110" s="10">
        <f t="shared" si="86"/>
        <v>2.611339112</v>
      </c>
      <c r="L110" s="10">
        <f t="shared" si="87"/>
        <v>1.714764521</v>
      </c>
      <c r="M110" s="10">
        <f t="shared" si="88"/>
        <v>1.271143224</v>
      </c>
      <c r="N110" s="10">
        <f t="shared" si="89"/>
        <v>1.271143224</v>
      </c>
      <c r="O110" s="41" t="str">
        <f t="shared" si="90"/>
        <v>C3</v>
      </c>
      <c r="P110" s="42" t="str">
        <f t="shared" si="91"/>
        <v>NORMAL</v>
      </c>
      <c r="Q110" s="6" t="s">
        <v>49</v>
      </c>
      <c r="R110" s="8"/>
      <c r="S110" s="8"/>
      <c r="T110" s="8"/>
      <c r="U110" s="8"/>
      <c r="V110" s="8"/>
      <c r="W110" s="8"/>
      <c r="X110" s="8"/>
      <c r="Y110" s="8"/>
    </row>
    <row r="111">
      <c r="A111" s="10">
        <f t="shared" si="80"/>
        <v>3.042934386</v>
      </c>
      <c r="B111" s="10">
        <f t="shared" si="81"/>
        <v>3.042934386</v>
      </c>
      <c r="C111" s="10">
        <f t="shared" si="82"/>
        <v>3.042934386</v>
      </c>
      <c r="D111" s="10">
        <f t="shared" si="83"/>
        <v>3.042934386</v>
      </c>
      <c r="E111" s="41" t="str">
        <f t="shared" si="84"/>
        <v>C1</v>
      </c>
      <c r="F111" s="8"/>
      <c r="G111" s="8"/>
      <c r="H111" s="8"/>
      <c r="I111" s="8"/>
      <c r="J111" s="8"/>
      <c r="K111" s="10">
        <f t="shared" si="86"/>
        <v>1.974460593</v>
      </c>
      <c r="L111" s="10">
        <f t="shared" si="87"/>
        <v>4.726839327</v>
      </c>
      <c r="M111" s="10">
        <f t="shared" si="88"/>
        <v>3.278162408</v>
      </c>
      <c r="N111" s="10">
        <f t="shared" si="89"/>
        <v>1.974460593</v>
      </c>
      <c r="O111" s="41" t="str">
        <f t="shared" si="90"/>
        <v>C1</v>
      </c>
      <c r="P111" s="42" t="str">
        <f t="shared" si="91"/>
        <v>WARNING</v>
      </c>
      <c r="Q111" s="24" t="s">
        <v>51</v>
      </c>
      <c r="R111" s="8"/>
      <c r="S111" s="8"/>
      <c r="T111" s="8"/>
      <c r="U111" s="8"/>
      <c r="V111" s="8"/>
      <c r="W111" s="8"/>
      <c r="X111" s="8"/>
      <c r="Y111" s="8"/>
    </row>
    <row r="112">
      <c r="A112" s="10">
        <f t="shared" si="80"/>
        <v>0.8582670858</v>
      </c>
      <c r="B112" s="10">
        <f t="shared" si="81"/>
        <v>0.8582670858</v>
      </c>
      <c r="C112" s="10">
        <f t="shared" si="82"/>
        <v>0.8582670858</v>
      </c>
      <c r="D112" s="10">
        <f t="shared" si="83"/>
        <v>0.8582670858</v>
      </c>
      <c r="E112" s="41" t="str">
        <f t="shared" si="84"/>
        <v>C1</v>
      </c>
      <c r="F112" s="8"/>
      <c r="G112" s="8"/>
      <c r="H112" s="8"/>
      <c r="I112" s="8"/>
      <c r="J112" s="8"/>
      <c r="K112" s="10">
        <f t="shared" si="86"/>
        <v>1.75374583</v>
      </c>
      <c r="L112" s="10">
        <f t="shared" si="87"/>
        <v>2.391452459</v>
      </c>
      <c r="M112" s="10">
        <f t="shared" si="88"/>
        <v>1.238451425</v>
      </c>
      <c r="N112" s="10">
        <f t="shared" si="89"/>
        <v>1.238451425</v>
      </c>
      <c r="O112" s="41" t="str">
        <f t="shared" si="90"/>
        <v>C3</v>
      </c>
      <c r="P112" s="42" t="str">
        <f t="shared" si="91"/>
        <v>NORMAL</v>
      </c>
      <c r="Q112" s="30" t="s">
        <v>54</v>
      </c>
      <c r="R112" s="8"/>
      <c r="S112" s="8"/>
      <c r="T112" s="8"/>
      <c r="U112" s="8"/>
      <c r="V112" s="8"/>
      <c r="W112" s="8"/>
      <c r="X112" s="8"/>
      <c r="Y112" s="8"/>
    </row>
    <row r="113">
      <c r="A113" s="10">
        <f t="shared" si="80"/>
        <v>1.283691189</v>
      </c>
      <c r="B113" s="10">
        <f t="shared" si="81"/>
        <v>1.283691189</v>
      </c>
      <c r="C113" s="10">
        <f t="shared" si="82"/>
        <v>1.283691189</v>
      </c>
      <c r="D113" s="10">
        <f t="shared" si="83"/>
        <v>1.283691189</v>
      </c>
      <c r="E113" s="41" t="str">
        <f t="shared" si="84"/>
        <v>C1</v>
      </c>
      <c r="F113" s="8"/>
      <c r="G113" s="8"/>
      <c r="H113" s="8"/>
      <c r="I113" s="8"/>
      <c r="J113" s="8"/>
      <c r="K113" s="10">
        <f t="shared" si="86"/>
        <v>1.780132991</v>
      </c>
      <c r="L113" s="10">
        <f t="shared" si="87"/>
        <v>2.946968084</v>
      </c>
      <c r="M113" s="10">
        <f t="shared" si="88"/>
        <v>1.509812252</v>
      </c>
      <c r="N113" s="10">
        <f t="shared" si="89"/>
        <v>1.509812252</v>
      </c>
      <c r="O113" s="41" t="str">
        <f t="shared" si="90"/>
        <v>C3</v>
      </c>
      <c r="P113" s="42" t="str">
        <f t="shared" si="91"/>
        <v>NORMAL</v>
      </c>
      <c r="Q113" s="30" t="s">
        <v>54</v>
      </c>
      <c r="R113" s="8"/>
      <c r="S113" s="8"/>
      <c r="T113" s="8"/>
      <c r="U113" s="8"/>
      <c r="V113" s="8"/>
      <c r="W113" s="8"/>
      <c r="X113" s="8"/>
      <c r="Y113" s="8"/>
    </row>
    <row r="114">
      <c r="A114" s="10">
        <f t="shared" si="80"/>
        <v>0.9266099248</v>
      </c>
      <c r="B114" s="10">
        <f t="shared" si="81"/>
        <v>0.9266099248</v>
      </c>
      <c r="C114" s="10">
        <f t="shared" si="82"/>
        <v>0.9266099248</v>
      </c>
      <c r="D114" s="10">
        <f t="shared" si="83"/>
        <v>0.9266099248</v>
      </c>
      <c r="E114" s="41" t="str">
        <f t="shared" si="84"/>
        <v>C1</v>
      </c>
      <c r="F114" s="8"/>
      <c r="G114" s="8"/>
      <c r="H114" s="8"/>
      <c r="I114" s="8"/>
      <c r="J114" s="8"/>
      <c r="K114" s="10">
        <f t="shared" si="86"/>
        <v>1.54819683</v>
      </c>
      <c r="L114" s="10">
        <f t="shared" si="87"/>
        <v>2.308135498</v>
      </c>
      <c r="M114" s="10">
        <f t="shared" si="88"/>
        <v>1.413740307</v>
      </c>
      <c r="N114" s="10">
        <f t="shared" si="89"/>
        <v>1.413740307</v>
      </c>
      <c r="O114" s="41" t="str">
        <f t="shared" si="90"/>
        <v>C3</v>
      </c>
      <c r="P114" s="42" t="str">
        <f t="shared" si="91"/>
        <v>NORMAL</v>
      </c>
      <c r="Q114" s="6" t="s">
        <v>49</v>
      </c>
      <c r="R114" s="8"/>
      <c r="S114" s="8"/>
      <c r="T114" s="8"/>
      <c r="U114" s="8"/>
      <c r="V114" s="8"/>
      <c r="W114" s="8"/>
      <c r="X114" s="8"/>
      <c r="Y114" s="8"/>
    </row>
    <row r="115">
      <c r="A115" s="10">
        <f t="shared" si="80"/>
        <v>1.510531945</v>
      </c>
      <c r="B115" s="10">
        <f t="shared" si="81"/>
        <v>1.510531945</v>
      </c>
      <c r="C115" s="10">
        <f t="shared" si="82"/>
        <v>1.510531945</v>
      </c>
      <c r="D115" s="10">
        <f t="shared" si="83"/>
        <v>1.510531945</v>
      </c>
      <c r="E115" s="41" t="str">
        <f t="shared" si="84"/>
        <v>C1</v>
      </c>
      <c r="F115" s="8"/>
      <c r="G115" s="8"/>
      <c r="H115" s="8"/>
      <c r="I115" s="8"/>
      <c r="J115" s="8"/>
      <c r="K115" s="10">
        <f t="shared" si="86"/>
        <v>3.236142184</v>
      </c>
      <c r="L115" s="10">
        <f t="shared" si="87"/>
        <v>2.849892428</v>
      </c>
      <c r="M115" s="10">
        <f t="shared" si="88"/>
        <v>1.073183369</v>
      </c>
      <c r="N115" s="10">
        <f t="shared" si="89"/>
        <v>1.073183369</v>
      </c>
      <c r="O115" s="41" t="str">
        <f t="shared" si="90"/>
        <v>C3</v>
      </c>
      <c r="P115" s="42" t="str">
        <f t="shared" si="91"/>
        <v>NORMAL</v>
      </c>
      <c r="Q115" s="6" t="s">
        <v>49</v>
      </c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7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5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</row>
    <row r="118">
      <c r="A118" s="8" t="s">
        <v>73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3" t="s">
        <v>0</v>
      </c>
      <c r="B119" s="3" t="s">
        <v>2</v>
      </c>
      <c r="C119" s="3" t="s">
        <v>4</v>
      </c>
      <c r="D119" s="3" t="s">
        <v>5</v>
      </c>
      <c r="E119" s="3" t="s">
        <v>7</v>
      </c>
      <c r="F119" s="6" t="s">
        <v>10</v>
      </c>
      <c r="G119" s="36" t="s">
        <v>58</v>
      </c>
      <c r="H119" s="36" t="s">
        <v>59</v>
      </c>
      <c r="I119" s="36" t="s">
        <v>60</v>
      </c>
      <c r="J119" s="36" t="s">
        <v>61</v>
      </c>
      <c r="K119" s="37" t="s">
        <v>62</v>
      </c>
      <c r="L119" s="37" t="s">
        <v>63</v>
      </c>
      <c r="M119" s="37" t="s">
        <v>64</v>
      </c>
      <c r="N119" s="38" t="s">
        <v>65</v>
      </c>
      <c r="O119" s="38" t="s">
        <v>66</v>
      </c>
      <c r="P119" s="3" t="s">
        <v>67</v>
      </c>
      <c r="Q119" s="3" t="s">
        <v>68</v>
      </c>
      <c r="R119" s="3" t="s">
        <v>69</v>
      </c>
      <c r="S119" s="3" t="s">
        <v>70</v>
      </c>
      <c r="T119" s="3" t="s">
        <v>71</v>
      </c>
      <c r="U119" s="37" t="s">
        <v>62</v>
      </c>
      <c r="V119" s="37" t="s">
        <v>63</v>
      </c>
      <c r="W119" s="37" t="s">
        <v>64</v>
      </c>
      <c r="X119" s="38" t="s">
        <v>65</v>
      </c>
      <c r="Y119" s="38" t="s">
        <v>66</v>
      </c>
    </row>
    <row r="120">
      <c r="A120" s="39">
        <v>45292.00069444445</v>
      </c>
      <c r="B120" s="10">
        <v>18.0</v>
      </c>
      <c r="C120" s="10">
        <v>76.54</v>
      </c>
      <c r="D120" s="10">
        <v>4.88</v>
      </c>
      <c r="E120" s="10">
        <v>33.93</v>
      </c>
      <c r="F120" s="11">
        <v>1363.7</v>
      </c>
      <c r="G120" s="11">
        <f t="shared" ref="G120:G134" si="94">(C120 - MIN($C$120:$C$134)) / (MAX($C$120:$C$134) - MIN($C$120:$C$134))</f>
        <v>0.3940276766</v>
      </c>
      <c r="H120" s="11">
        <f t="shared" ref="H120:H134" si="95">(D120 - MIN($D$120:$D$134)) / (MAX($D$120:$D$134) - MIN($D$120:$D$134))</f>
        <v>0.6193853428</v>
      </c>
      <c r="I120" s="11">
        <f t="shared" ref="I120:I134" si="96">(E120 - MIN($E$120:$E$134)) / (MAX($E$120:$E$134) - MIN($E$120:$E$134))</f>
        <v>0.8305369128</v>
      </c>
      <c r="J120" s="11">
        <f t="shared" ref="J120:J134" si="97">(F120 - MIN($F$120:$F$134)) / (MAX($F$120:$F$134) - MIN($F$120:$F$134))</f>
        <v>0.8660062234</v>
      </c>
      <c r="K120" s="3" t="s">
        <v>67</v>
      </c>
      <c r="L120" s="40">
        <v>0.39402767662053906</v>
      </c>
      <c r="M120" s="40">
        <v>0.6193853427895981</v>
      </c>
      <c r="N120" s="40">
        <v>0.8305369127516781</v>
      </c>
      <c r="O120" s="40">
        <v>0.8660062234076332</v>
      </c>
      <c r="P120" s="10">
        <f t="shared" ref="P120:P134" si="98">SQRT((G120-$L$82)^2 + (H120-$M$82)^2 + (I120-$N$82)^2+ (J120-$O$82)^2)</f>
        <v>0.6776588496</v>
      </c>
      <c r="Q120" s="10">
        <f t="shared" ref="Q120:Q134" si="99">SQRT((G120-$L$83)^2 + (H120-$M$83)^2 + (I120-$N$83)^2+ (J120-$O$83)^2)</f>
        <v>3.35500455</v>
      </c>
      <c r="R120" s="10">
        <f t="shared" ref="R120:R134" si="100">SQRT((G120-$L$84)^2 + (H120-$M$84)^2 + (I120-$N$84)^2+ (J120-$O$84)^2)</f>
        <v>0.9328240732</v>
      </c>
      <c r="S120" s="10">
        <f t="shared" ref="S120:S134" si="101">MIN(P120:R120)</f>
        <v>0.6776588496</v>
      </c>
      <c r="T120" s="3" t="str">
        <f t="shared" ref="T120:T134" si="102">IFS(S120=P120, "C1", S120=Q120, "C2", S120=R120, "C3", S120=#REF!, "C4", S120=#REF!, "C5")</f>
        <v>C1</v>
      </c>
      <c r="U120" s="3" t="s">
        <v>67</v>
      </c>
      <c r="V120" s="40">
        <f t="shared" ref="V120:Y120" si="93">SUM(G120,G128,G130)/3</f>
        <v>0.5819373634</v>
      </c>
      <c r="W120" s="40">
        <f t="shared" si="93"/>
        <v>0.6532702916</v>
      </c>
      <c r="X120" s="40">
        <f t="shared" si="93"/>
        <v>0.8199105145</v>
      </c>
      <c r="Y120" s="40">
        <f t="shared" si="93"/>
        <v>0.9324104062</v>
      </c>
    </row>
    <row r="121">
      <c r="A121" s="39">
        <v>45292.00069444445</v>
      </c>
      <c r="B121" s="10">
        <v>37.0</v>
      </c>
      <c r="C121" s="10">
        <v>73.02</v>
      </c>
      <c r="D121" s="10">
        <v>4.71</v>
      </c>
      <c r="E121" s="10">
        <v>30.56</v>
      </c>
      <c r="F121" s="11">
        <v>0.0</v>
      </c>
      <c r="G121" s="11">
        <f t="shared" si="94"/>
        <v>0.3085700413</v>
      </c>
      <c r="H121" s="11">
        <f t="shared" si="95"/>
        <v>0.5791962175</v>
      </c>
      <c r="I121" s="11">
        <f t="shared" si="96"/>
        <v>0.2651006711</v>
      </c>
      <c r="J121" s="11">
        <f t="shared" si="97"/>
        <v>0</v>
      </c>
      <c r="K121" s="3" t="s">
        <v>68</v>
      </c>
      <c r="L121" s="40">
        <v>0.0</v>
      </c>
      <c r="M121" s="40">
        <v>0.11820330969267138</v>
      </c>
      <c r="N121" s="40">
        <v>0.28859060402684555</v>
      </c>
      <c r="O121" s="40">
        <v>0.9057598272686861</v>
      </c>
      <c r="P121" s="10">
        <f t="shared" si="98"/>
        <v>1.381031555</v>
      </c>
      <c r="Q121" s="10">
        <f t="shared" si="99"/>
        <v>3.14516053</v>
      </c>
      <c r="R121" s="10">
        <f t="shared" si="100"/>
        <v>1.09851843</v>
      </c>
      <c r="S121" s="10">
        <f t="shared" si="101"/>
        <v>1.09851843</v>
      </c>
      <c r="T121" s="3" t="str">
        <f t="shared" si="102"/>
        <v>C3</v>
      </c>
      <c r="U121" s="3" t="s">
        <v>68</v>
      </c>
      <c r="V121" s="40">
        <f t="shared" ref="V121:Y121" si="103">sum(G122,G127)/2</f>
        <v>0.2051468803</v>
      </c>
      <c r="W121" s="40">
        <f t="shared" si="103"/>
        <v>0.05910165485</v>
      </c>
      <c r="X121" s="40">
        <f t="shared" si="103"/>
        <v>0.3322147651</v>
      </c>
      <c r="Y121" s="40">
        <f t="shared" si="103"/>
        <v>0.8866450753</v>
      </c>
    </row>
    <row r="122">
      <c r="A122" s="39">
        <v>45292.00069444445</v>
      </c>
      <c r="B122" s="10">
        <v>43.0</v>
      </c>
      <c r="C122" s="10">
        <v>77.21</v>
      </c>
      <c r="D122" s="10">
        <v>2.26</v>
      </c>
      <c r="E122" s="10">
        <v>31.22</v>
      </c>
      <c r="F122" s="11">
        <v>1366.1</v>
      </c>
      <c r="G122" s="11">
        <f t="shared" si="94"/>
        <v>0.4102937606</v>
      </c>
      <c r="H122" s="11">
        <f t="shared" si="95"/>
        <v>0</v>
      </c>
      <c r="I122" s="11">
        <f t="shared" si="96"/>
        <v>0.3758389262</v>
      </c>
      <c r="J122" s="11">
        <f t="shared" si="97"/>
        <v>0.8675303232</v>
      </c>
      <c r="K122" s="3" t="s">
        <v>69</v>
      </c>
      <c r="L122" s="40">
        <v>0.29934450109249816</v>
      </c>
      <c r="M122" s="40">
        <v>0.5271867612293145</v>
      </c>
      <c r="N122" s="40">
        <v>0.5889261744966449</v>
      </c>
      <c r="O122" s="40">
        <v>0.8940750619165556</v>
      </c>
      <c r="P122" s="10">
        <f t="shared" si="98"/>
        <v>1.18087631</v>
      </c>
      <c r="Q122" s="10">
        <f t="shared" si="99"/>
        <v>2.741995242</v>
      </c>
      <c r="R122" s="10">
        <f t="shared" si="100"/>
        <v>0.6415491944</v>
      </c>
      <c r="S122" s="10">
        <f t="shared" si="101"/>
        <v>0.6415491944</v>
      </c>
      <c r="T122" s="3" t="str">
        <f t="shared" si="102"/>
        <v>C3</v>
      </c>
      <c r="U122" s="3" t="s">
        <v>69</v>
      </c>
      <c r="V122" s="40">
        <f t="shared" ref="V122:Y122" si="104">SUM(G121,G123:G126,G129,G131:G134)/10</f>
        <v>0.3207817431</v>
      </c>
      <c r="W122" s="40">
        <f t="shared" si="104"/>
        <v>0.5619385343</v>
      </c>
      <c r="X122" s="40">
        <f t="shared" si="104"/>
        <v>0.4209731544</v>
      </c>
      <c r="Y122" s="40">
        <f t="shared" si="104"/>
        <v>0.396564425</v>
      </c>
    </row>
    <row r="123">
      <c r="A123" s="39">
        <v>45292.00069444445</v>
      </c>
      <c r="B123" s="10">
        <v>3.0</v>
      </c>
      <c r="C123" s="10">
        <v>68.86</v>
      </c>
      <c r="D123" s="10">
        <v>4.31</v>
      </c>
      <c r="E123" s="10">
        <v>31.64</v>
      </c>
      <c r="F123" s="11">
        <v>0.0</v>
      </c>
      <c r="G123" s="11">
        <f t="shared" si="94"/>
        <v>0.207574654</v>
      </c>
      <c r="H123" s="11">
        <f t="shared" si="95"/>
        <v>0.4846335697</v>
      </c>
      <c r="I123" s="11">
        <f t="shared" si="96"/>
        <v>0.4463087248</v>
      </c>
      <c r="J123" s="11">
        <f t="shared" si="97"/>
        <v>0</v>
      </c>
      <c r="K123" s="8"/>
      <c r="L123" s="8"/>
      <c r="M123" s="8"/>
      <c r="N123" s="8"/>
      <c r="O123" s="8"/>
      <c r="P123" s="10">
        <f t="shared" si="98"/>
        <v>1.217815231</v>
      </c>
      <c r="Q123" s="10">
        <f t="shared" si="99"/>
        <v>3.093907703</v>
      </c>
      <c r="R123" s="10">
        <f t="shared" si="100"/>
        <v>0.9992720356</v>
      </c>
      <c r="S123" s="10">
        <f t="shared" si="101"/>
        <v>0.9992720356</v>
      </c>
      <c r="T123" s="3" t="str">
        <f t="shared" si="102"/>
        <v>C3</v>
      </c>
      <c r="U123" s="8"/>
      <c r="V123" s="8"/>
      <c r="W123" s="8"/>
      <c r="X123" s="8"/>
      <c r="Y123" s="8"/>
    </row>
    <row r="124">
      <c r="A124" s="39">
        <v>45292.00069444445</v>
      </c>
      <c r="B124" s="10">
        <v>13.0</v>
      </c>
      <c r="C124" s="10">
        <v>67.04</v>
      </c>
      <c r="D124" s="10">
        <v>4.22</v>
      </c>
      <c r="E124" s="10">
        <v>31.92</v>
      </c>
      <c r="F124" s="11">
        <v>0.0</v>
      </c>
      <c r="G124" s="11">
        <f t="shared" si="94"/>
        <v>0.1633891721</v>
      </c>
      <c r="H124" s="11">
        <f t="shared" si="95"/>
        <v>0.463356974</v>
      </c>
      <c r="I124" s="11">
        <f t="shared" si="96"/>
        <v>0.4932885906</v>
      </c>
      <c r="J124" s="11">
        <f t="shared" si="97"/>
        <v>0</v>
      </c>
      <c r="K124" s="8"/>
      <c r="L124" s="8"/>
      <c r="M124" s="8"/>
      <c r="N124" s="8"/>
      <c r="O124" s="8"/>
      <c r="P124" s="10">
        <f t="shared" si="98"/>
        <v>1.178523702</v>
      </c>
      <c r="Q124" s="10">
        <f t="shared" si="99"/>
        <v>3.076497331</v>
      </c>
      <c r="R124" s="10">
        <f t="shared" si="100"/>
        <v>0.9746289814</v>
      </c>
      <c r="S124" s="10">
        <f t="shared" si="101"/>
        <v>0.9746289814</v>
      </c>
      <c r="T124" s="3" t="str">
        <f t="shared" si="102"/>
        <v>C3</v>
      </c>
      <c r="U124" s="8"/>
      <c r="V124" s="8"/>
      <c r="W124" s="8"/>
      <c r="X124" s="8"/>
      <c r="Y124" s="8"/>
    </row>
    <row r="125">
      <c r="A125" s="39">
        <v>45292.00069444445</v>
      </c>
      <c r="B125" s="10">
        <v>43.0</v>
      </c>
      <c r="C125" s="10">
        <v>99.18</v>
      </c>
      <c r="D125" s="10">
        <v>6.49</v>
      </c>
      <c r="E125" s="10">
        <v>28.98</v>
      </c>
      <c r="F125" s="11">
        <v>0.0</v>
      </c>
      <c r="G125" s="11">
        <f t="shared" si="94"/>
        <v>0.9436756494</v>
      </c>
      <c r="H125" s="11">
        <f t="shared" si="95"/>
        <v>1</v>
      </c>
      <c r="I125" s="11">
        <f t="shared" si="96"/>
        <v>0</v>
      </c>
      <c r="J125" s="11">
        <f t="shared" si="97"/>
        <v>0</v>
      </c>
      <c r="K125" s="8"/>
      <c r="L125" s="8"/>
      <c r="M125" s="8"/>
      <c r="N125" s="8"/>
      <c r="O125" s="8"/>
      <c r="P125" s="10">
        <f t="shared" si="98"/>
        <v>1.867710573</v>
      </c>
      <c r="Q125" s="10">
        <f t="shared" si="99"/>
        <v>3.742877817</v>
      </c>
      <c r="R125" s="10">
        <f t="shared" si="100"/>
        <v>1.746234529</v>
      </c>
      <c r="S125" s="10">
        <f t="shared" si="101"/>
        <v>1.746234529</v>
      </c>
      <c r="T125" s="3" t="str">
        <f t="shared" si="102"/>
        <v>C3</v>
      </c>
      <c r="U125" s="8"/>
      <c r="V125" s="8"/>
      <c r="W125" s="8"/>
      <c r="X125" s="8"/>
      <c r="Y125" s="8"/>
    </row>
    <row r="126">
      <c r="A126" s="39">
        <v>45292.00069444445</v>
      </c>
      <c r="B126" s="10">
        <v>25.0</v>
      </c>
      <c r="C126" s="10">
        <v>73.58</v>
      </c>
      <c r="D126" s="10">
        <v>4.28</v>
      </c>
      <c r="E126" s="10">
        <v>31.46</v>
      </c>
      <c r="F126" s="11">
        <v>1313.0</v>
      </c>
      <c r="G126" s="11">
        <f t="shared" si="94"/>
        <v>0.3221655742</v>
      </c>
      <c r="H126" s="11">
        <f t="shared" si="95"/>
        <v>0.4775413712</v>
      </c>
      <c r="I126" s="11">
        <f t="shared" si="96"/>
        <v>0.4161073826</v>
      </c>
      <c r="J126" s="11">
        <f t="shared" si="97"/>
        <v>0.8338096145</v>
      </c>
      <c r="K126" s="8"/>
      <c r="L126" s="8"/>
      <c r="M126" s="8"/>
      <c r="N126" s="8"/>
      <c r="O126" s="8"/>
      <c r="P126" s="10">
        <f t="shared" si="98"/>
        <v>1.027164517</v>
      </c>
      <c r="Q126" s="10">
        <f t="shared" si="99"/>
        <v>3.026723958</v>
      </c>
      <c r="R126" s="10">
        <f t="shared" si="100"/>
        <v>0.6875820606</v>
      </c>
      <c r="S126" s="10">
        <f t="shared" si="101"/>
        <v>0.6875820606</v>
      </c>
      <c r="T126" s="3" t="str">
        <f t="shared" si="102"/>
        <v>C3</v>
      </c>
      <c r="U126" s="8"/>
      <c r="V126" s="8"/>
      <c r="W126" s="8"/>
      <c r="X126" s="8"/>
      <c r="Y126" s="8"/>
    </row>
    <row r="127">
      <c r="A127" s="39">
        <v>45292.00069444445</v>
      </c>
      <c r="B127" s="10">
        <v>35.0</v>
      </c>
      <c r="C127" s="10">
        <v>60.31</v>
      </c>
      <c r="D127" s="10">
        <v>2.76</v>
      </c>
      <c r="E127" s="10">
        <v>30.7</v>
      </c>
      <c r="F127" s="11">
        <v>1426.3</v>
      </c>
      <c r="G127" s="11">
        <f t="shared" si="94"/>
        <v>0</v>
      </c>
      <c r="H127" s="11">
        <f t="shared" si="95"/>
        <v>0.1182033097</v>
      </c>
      <c r="I127" s="11">
        <f t="shared" si="96"/>
        <v>0.288590604</v>
      </c>
      <c r="J127" s="11">
        <f t="shared" si="97"/>
        <v>0.9057598273</v>
      </c>
      <c r="K127" s="8"/>
      <c r="L127" s="8"/>
      <c r="M127" s="8"/>
      <c r="N127" s="8"/>
      <c r="O127" s="8"/>
      <c r="P127" s="10">
        <f t="shared" si="98"/>
        <v>1.203635345</v>
      </c>
      <c r="Q127" s="10">
        <f t="shared" si="99"/>
        <v>2.538482918</v>
      </c>
      <c r="R127" s="10">
        <f t="shared" si="100"/>
        <v>0.2855721007</v>
      </c>
      <c r="S127" s="10">
        <f t="shared" si="101"/>
        <v>0.2855721007</v>
      </c>
      <c r="T127" s="3" t="str">
        <f t="shared" si="102"/>
        <v>C3</v>
      </c>
      <c r="U127" s="8"/>
      <c r="V127" s="8"/>
      <c r="W127" s="8"/>
      <c r="X127" s="8"/>
      <c r="Y127" s="8"/>
    </row>
    <row r="128">
      <c r="A128" s="39">
        <v>45292.00069444445</v>
      </c>
      <c r="B128" s="10">
        <v>43.0</v>
      </c>
      <c r="C128" s="10">
        <v>74.8</v>
      </c>
      <c r="D128" s="10">
        <v>4.34</v>
      </c>
      <c r="E128" s="10">
        <v>34.94</v>
      </c>
      <c r="F128" s="11">
        <v>1574.7</v>
      </c>
      <c r="G128" s="11">
        <f t="shared" si="94"/>
        <v>0.3517844137</v>
      </c>
      <c r="H128" s="11">
        <f t="shared" si="95"/>
        <v>0.4917257683</v>
      </c>
      <c r="I128" s="11">
        <f t="shared" si="96"/>
        <v>1</v>
      </c>
      <c r="J128" s="11">
        <f t="shared" si="97"/>
        <v>1</v>
      </c>
      <c r="K128" s="8"/>
      <c r="L128" s="8"/>
      <c r="M128" s="8"/>
      <c r="N128" s="8"/>
      <c r="O128" s="8"/>
      <c r="P128" s="10">
        <f t="shared" si="98"/>
        <v>0.5461873524</v>
      </c>
      <c r="Q128" s="10">
        <f t="shared" si="99"/>
        <v>3.339918678</v>
      </c>
      <c r="R128" s="10">
        <f t="shared" si="100"/>
        <v>0.9484518563</v>
      </c>
      <c r="S128" s="10">
        <f t="shared" si="101"/>
        <v>0.5461873524</v>
      </c>
      <c r="T128" s="3" t="str">
        <f t="shared" si="102"/>
        <v>C1</v>
      </c>
      <c r="U128" s="8"/>
      <c r="V128" s="8"/>
      <c r="W128" s="8"/>
      <c r="X128" s="8"/>
      <c r="Y128" s="8"/>
    </row>
    <row r="129">
      <c r="A129" s="39">
        <v>45292.00069444445</v>
      </c>
      <c r="B129" s="10">
        <v>28.0</v>
      </c>
      <c r="C129" s="10">
        <v>73.8</v>
      </c>
      <c r="D129" s="10">
        <v>4.11</v>
      </c>
      <c r="E129" s="10">
        <v>30.69</v>
      </c>
      <c r="F129" s="11">
        <v>1273.5</v>
      </c>
      <c r="G129" s="11">
        <f t="shared" si="94"/>
        <v>0.3275066764</v>
      </c>
      <c r="H129" s="11">
        <f t="shared" si="95"/>
        <v>0.4373522459</v>
      </c>
      <c r="I129" s="11">
        <f t="shared" si="96"/>
        <v>0.2869127517</v>
      </c>
      <c r="J129" s="11">
        <f t="shared" si="97"/>
        <v>0.8087254715</v>
      </c>
      <c r="K129" s="8"/>
      <c r="L129" s="8"/>
      <c r="M129" s="8"/>
      <c r="N129" s="8"/>
      <c r="O129" s="8"/>
      <c r="P129" s="10">
        <f t="shared" si="98"/>
        <v>1.152648045</v>
      </c>
      <c r="Q129" s="10">
        <f t="shared" si="99"/>
        <v>2.949535006</v>
      </c>
      <c r="R129" s="10">
        <f t="shared" si="100"/>
        <v>0.6797392204</v>
      </c>
      <c r="S129" s="10">
        <f t="shared" si="101"/>
        <v>0.6797392204</v>
      </c>
      <c r="T129" s="3" t="str">
        <f t="shared" si="102"/>
        <v>C3</v>
      </c>
      <c r="U129" s="8"/>
      <c r="V129" s="8"/>
      <c r="W129" s="8"/>
      <c r="X129" s="8"/>
      <c r="Y129" s="8"/>
    </row>
    <row r="130">
      <c r="A130" s="39">
        <v>45292.00069444445</v>
      </c>
      <c r="B130" s="10">
        <v>41.0</v>
      </c>
      <c r="C130" s="10">
        <v>101.5</v>
      </c>
      <c r="D130" s="10">
        <v>5.85</v>
      </c>
      <c r="E130" s="10">
        <v>32.73</v>
      </c>
      <c r="F130" s="11">
        <v>1466.4</v>
      </c>
      <c r="G130" s="11">
        <f t="shared" si="94"/>
        <v>1</v>
      </c>
      <c r="H130" s="11">
        <f t="shared" si="95"/>
        <v>0.8486997636</v>
      </c>
      <c r="I130" s="11">
        <f t="shared" si="96"/>
        <v>0.6291946309</v>
      </c>
      <c r="J130" s="11">
        <f t="shared" si="97"/>
        <v>0.9312249952</v>
      </c>
      <c r="K130" s="8"/>
      <c r="L130" s="8"/>
      <c r="M130" s="8"/>
      <c r="N130" s="8"/>
      <c r="O130" s="8"/>
      <c r="P130" s="10">
        <f t="shared" si="98"/>
        <v>1.250074592</v>
      </c>
      <c r="Q130" s="10">
        <f t="shared" si="99"/>
        <v>3.775774764</v>
      </c>
      <c r="R130" s="10">
        <f t="shared" si="100"/>
        <v>1.476909156</v>
      </c>
      <c r="S130" s="10">
        <f t="shared" si="101"/>
        <v>1.250074592</v>
      </c>
      <c r="T130" s="3" t="str">
        <f t="shared" si="102"/>
        <v>C1</v>
      </c>
      <c r="U130" s="8"/>
      <c r="V130" s="8"/>
      <c r="W130" s="8"/>
      <c r="X130" s="8"/>
      <c r="Y130" s="8"/>
    </row>
    <row r="131">
      <c r="A131" s="39">
        <v>45292.00069444445</v>
      </c>
      <c r="B131" s="10">
        <v>30.0</v>
      </c>
      <c r="C131" s="10">
        <v>69.52</v>
      </c>
      <c r="D131" s="10">
        <v>4.55</v>
      </c>
      <c r="E131" s="10">
        <v>32.6</v>
      </c>
      <c r="F131" s="11">
        <v>1195.2</v>
      </c>
      <c r="G131" s="11">
        <f t="shared" si="94"/>
        <v>0.2235979607</v>
      </c>
      <c r="H131" s="11">
        <f t="shared" si="95"/>
        <v>0.5413711584</v>
      </c>
      <c r="I131" s="11">
        <f t="shared" si="96"/>
        <v>0.6073825503</v>
      </c>
      <c r="J131" s="11">
        <f t="shared" si="97"/>
        <v>0.7590017146</v>
      </c>
      <c r="K131" s="8"/>
      <c r="L131" s="8"/>
      <c r="M131" s="8"/>
      <c r="N131" s="8"/>
      <c r="O131" s="8"/>
      <c r="P131" s="10">
        <f t="shared" si="98"/>
        <v>0.8228995171</v>
      </c>
      <c r="Q131" s="10">
        <f t="shared" si="99"/>
        <v>3.104511986</v>
      </c>
      <c r="R131" s="10">
        <f t="shared" si="100"/>
        <v>0.6846816855</v>
      </c>
      <c r="S131" s="10">
        <f t="shared" si="101"/>
        <v>0.6846816855</v>
      </c>
      <c r="T131" s="3" t="str">
        <f t="shared" si="102"/>
        <v>C3</v>
      </c>
      <c r="U131" s="8"/>
      <c r="V131" s="8"/>
      <c r="W131" s="8"/>
      <c r="X131" s="8"/>
      <c r="Y131" s="8"/>
    </row>
    <row r="132">
      <c r="A132" s="39">
        <v>45292.00069444445</v>
      </c>
      <c r="B132" s="10">
        <v>24.0</v>
      </c>
      <c r="C132" s="10">
        <v>67.2</v>
      </c>
      <c r="D132" s="10">
        <v>4.91</v>
      </c>
      <c r="E132" s="10">
        <v>33.19</v>
      </c>
      <c r="F132" s="11">
        <v>1055.1</v>
      </c>
      <c r="G132" s="11">
        <f t="shared" si="94"/>
        <v>0.1672736101</v>
      </c>
      <c r="H132" s="11">
        <f t="shared" si="95"/>
        <v>0.6264775414</v>
      </c>
      <c r="I132" s="11">
        <f t="shared" si="96"/>
        <v>0.7063758389</v>
      </c>
      <c r="J132" s="11">
        <f t="shared" si="97"/>
        <v>0.6700323871</v>
      </c>
      <c r="K132" s="8"/>
      <c r="L132" s="8"/>
      <c r="M132" s="8"/>
      <c r="N132" s="8"/>
      <c r="O132" s="8"/>
      <c r="P132" s="10">
        <f t="shared" si="98"/>
        <v>0.7370837751</v>
      </c>
      <c r="Q132" s="10">
        <f t="shared" si="99"/>
        <v>3.188241471</v>
      </c>
      <c r="R132" s="10">
        <f t="shared" si="100"/>
        <v>0.7568403122</v>
      </c>
      <c r="S132" s="10">
        <f t="shared" si="101"/>
        <v>0.7370837751</v>
      </c>
      <c r="T132" s="3" t="str">
        <f t="shared" si="102"/>
        <v>C1</v>
      </c>
      <c r="U132" s="8"/>
      <c r="V132" s="8"/>
      <c r="W132" s="8"/>
      <c r="X132" s="8"/>
      <c r="Y132" s="8"/>
    </row>
    <row r="133">
      <c r="A133" s="39">
        <v>45292.00069444445</v>
      </c>
      <c r="B133" s="10">
        <v>1.0</v>
      </c>
      <c r="C133" s="10">
        <v>72.64</v>
      </c>
      <c r="D133" s="10">
        <v>4.49</v>
      </c>
      <c r="E133" s="10">
        <v>32.49</v>
      </c>
      <c r="F133" s="11">
        <v>1407.9</v>
      </c>
      <c r="G133" s="11">
        <f t="shared" si="94"/>
        <v>0.2993445011</v>
      </c>
      <c r="H133" s="11">
        <f t="shared" si="95"/>
        <v>0.5271867612</v>
      </c>
      <c r="I133" s="11">
        <f t="shared" si="96"/>
        <v>0.5889261745</v>
      </c>
      <c r="J133" s="11">
        <f t="shared" si="97"/>
        <v>0.8940750619</v>
      </c>
      <c r="K133" s="8"/>
      <c r="L133" s="8"/>
      <c r="M133" s="8"/>
      <c r="N133" s="8"/>
      <c r="O133" s="8"/>
      <c r="P133" s="10">
        <f t="shared" si="98"/>
        <v>0.8665258249</v>
      </c>
      <c r="Q133" s="10">
        <f t="shared" si="99"/>
        <v>3.125631962</v>
      </c>
      <c r="R133" s="10">
        <f t="shared" si="100"/>
        <v>0.7283588808</v>
      </c>
      <c r="S133" s="10">
        <f t="shared" si="101"/>
        <v>0.7283588808</v>
      </c>
      <c r="T133" s="3" t="str">
        <f t="shared" si="102"/>
        <v>C3</v>
      </c>
      <c r="U133" s="8"/>
      <c r="V133" s="8"/>
      <c r="W133" s="8"/>
      <c r="X133" s="8"/>
      <c r="Y133" s="8"/>
    </row>
    <row r="134">
      <c r="A134" s="39">
        <v>45292.00069444445</v>
      </c>
      <c r="B134" s="10">
        <v>15.0</v>
      </c>
      <c r="C134" s="10">
        <v>70.39</v>
      </c>
      <c r="D134" s="10">
        <v>4.3</v>
      </c>
      <c r="E134" s="10">
        <v>31.36</v>
      </c>
      <c r="F134" s="11">
        <v>0.0</v>
      </c>
      <c r="G134" s="11">
        <f t="shared" si="94"/>
        <v>0.2447195921</v>
      </c>
      <c r="H134" s="11">
        <f t="shared" si="95"/>
        <v>0.4822695035</v>
      </c>
      <c r="I134" s="11">
        <f t="shared" si="96"/>
        <v>0.3993288591</v>
      </c>
      <c r="J134" s="11">
        <f t="shared" si="97"/>
        <v>0</v>
      </c>
      <c r="K134" s="8"/>
      <c r="L134" s="8"/>
      <c r="M134" s="8"/>
      <c r="N134" s="8"/>
      <c r="O134" s="8"/>
      <c r="P134" s="10">
        <f t="shared" si="98"/>
        <v>1.258242085</v>
      </c>
      <c r="Q134" s="10">
        <f t="shared" si="99"/>
        <v>3.0923177</v>
      </c>
      <c r="R134" s="10">
        <f t="shared" si="100"/>
        <v>1.014528727</v>
      </c>
      <c r="S134" s="10">
        <f t="shared" si="101"/>
        <v>1.014528727</v>
      </c>
      <c r="T134" s="3" t="str">
        <f t="shared" si="102"/>
        <v>C3</v>
      </c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3" t="s">
        <v>67</v>
      </c>
      <c r="B138" s="3" t="s">
        <v>68</v>
      </c>
      <c r="C138" s="3" t="s">
        <v>69</v>
      </c>
      <c r="D138" s="3" t="s">
        <v>70</v>
      </c>
      <c r="E138" s="41" t="s">
        <v>71</v>
      </c>
      <c r="F138" s="37" t="s">
        <v>62</v>
      </c>
      <c r="G138" s="37" t="s">
        <v>63</v>
      </c>
      <c r="H138" s="37" t="s">
        <v>64</v>
      </c>
      <c r="I138" s="38" t="s">
        <v>65</v>
      </c>
      <c r="J138" s="38" t="s">
        <v>66</v>
      </c>
      <c r="K138" s="3" t="s">
        <v>67</v>
      </c>
      <c r="L138" s="3" t="s">
        <v>68</v>
      </c>
      <c r="M138" s="3" t="s">
        <v>69</v>
      </c>
      <c r="N138" s="3" t="s">
        <v>70</v>
      </c>
      <c r="O138" s="41" t="s">
        <v>71</v>
      </c>
      <c r="P138" s="42" t="s">
        <v>72</v>
      </c>
      <c r="Q138" s="6" t="s">
        <v>48</v>
      </c>
      <c r="R138" s="6"/>
      <c r="S138" s="8"/>
      <c r="T138" s="8"/>
      <c r="U138" s="8"/>
      <c r="V138" s="8"/>
      <c r="W138" s="8"/>
      <c r="X138" s="8"/>
      <c r="Y138" s="8"/>
    </row>
    <row r="139">
      <c r="A139" s="10">
        <f t="shared" ref="A139:A153" si="106">SQRT((G120-$AF$120)^2 + (H120-$AG$120)^2 + (I120-$AH$120)^2+ (J120-$AI$120)^2)</f>
        <v>1.406646493</v>
      </c>
      <c r="B139" s="10">
        <f t="shared" ref="B139:B153" si="107">SQRT((G120-$AF$121)^2 + (H120-$AG$121)^2 + (I120-$AH$121)^2+ (J120-$AI$121)^2)</f>
        <v>1.406646493</v>
      </c>
      <c r="C139" s="10">
        <f t="shared" ref="C139:C153" si="108">SQRT((G120-$AF$122)^2 + (H120-$AG$122)^2 + (I120-$AH$122)^2+ (J120-$AI$122)^2)</f>
        <v>1.406646493</v>
      </c>
      <c r="D139" s="10">
        <f t="shared" ref="D139:D153" si="109">MIN(A139:C139)</f>
        <v>1.406646493</v>
      </c>
      <c r="E139" s="41" t="str">
        <f t="shared" ref="E139:E153" si="110">IFS(D139=A139, "C1", D139=B139, "C2", D139=C139, "C3", D139=#REF!, "C4", D139=#REF!, "C5")</f>
        <v>C1</v>
      </c>
      <c r="F139" s="3" t="s">
        <v>67</v>
      </c>
      <c r="G139" s="40">
        <f t="shared" ref="G139:J139" si="105">SUM(G120,G128,G130:G133)/6</f>
        <v>0.4060046937</v>
      </c>
      <c r="H139" s="40">
        <f t="shared" si="105"/>
        <v>0.6091410559</v>
      </c>
      <c r="I139" s="40">
        <f t="shared" si="105"/>
        <v>0.7270693512</v>
      </c>
      <c r="J139" s="40">
        <f t="shared" si="105"/>
        <v>0.8533900637</v>
      </c>
      <c r="K139" s="10">
        <f t="shared" ref="K139:K153" si="112">SQRT((G120-$G$139)^2 + (H120-$H$139)^2 + (I120-$I$139)^2+ (J120-$J$139)^2)</f>
        <v>0.1054186801</v>
      </c>
      <c r="L139" s="10">
        <f t="shared" ref="L139:L153" si="113">SQRT((G120-$G$140)^2 + (H120-$H$140)^2 + (I120-$I$140)^2+ (J120-$J$140)^2)</f>
        <v>0.6212886067</v>
      </c>
      <c r="M139" s="10">
        <f t="shared" ref="M139:M153" si="114">SQRT((G120-$G$141)^2 + (H120-$H$141)^2 + (I120-$I$141)^2+ (J120-$J$141)^2)</f>
        <v>1.005244716</v>
      </c>
      <c r="N139" s="10">
        <f t="shared" ref="N139:N153" si="115">MIN(K139:M139)</f>
        <v>0.1054186801</v>
      </c>
      <c r="O139" s="41" t="str">
        <f t="shared" ref="O139:O153" si="116">IFS(N139=K139, "C1", N139=L139, "C2", N139=M139, "C3", N139=#REF!, "C4", N139=#REF!, "C5")</f>
        <v>C1</v>
      </c>
      <c r="P139" s="43" t="str">
        <f t="shared" ref="P139:P153" si="117">IF(O139="C3", "NORMAL", IF(O139="C1", "WARNING", "ANOMALI"))</f>
        <v>WARNING</v>
      </c>
      <c r="Q139" s="6" t="s">
        <v>49</v>
      </c>
      <c r="R139" s="8"/>
      <c r="S139" s="8"/>
      <c r="T139" s="8"/>
      <c r="U139" s="8"/>
      <c r="V139" s="8"/>
      <c r="W139" s="8"/>
      <c r="X139" s="8"/>
      <c r="Y139" s="8"/>
    </row>
    <row r="140">
      <c r="A140" s="10">
        <f t="shared" si="106"/>
        <v>0.7077867578</v>
      </c>
      <c r="B140" s="10">
        <f t="shared" si="107"/>
        <v>0.7077867578</v>
      </c>
      <c r="C140" s="10">
        <f t="shared" si="108"/>
        <v>0.7077867578</v>
      </c>
      <c r="D140" s="10">
        <f t="shared" si="109"/>
        <v>0.7077867578</v>
      </c>
      <c r="E140" s="41" t="str">
        <f t="shared" si="110"/>
        <v>C1</v>
      </c>
      <c r="F140" s="3" t="s">
        <v>68</v>
      </c>
      <c r="G140" s="40">
        <f t="shared" ref="G140:J140" si="111">sum(G122,G126,G127,G129)/4</f>
        <v>0.2649915028</v>
      </c>
      <c r="H140" s="40">
        <f t="shared" si="111"/>
        <v>0.2582742317</v>
      </c>
      <c r="I140" s="40">
        <f t="shared" si="111"/>
        <v>0.3418624161</v>
      </c>
      <c r="J140" s="40">
        <f t="shared" si="111"/>
        <v>0.8539563091</v>
      </c>
      <c r="K140" s="10">
        <f t="shared" si="112"/>
        <v>0.9757458004</v>
      </c>
      <c r="L140" s="10">
        <f t="shared" si="113"/>
        <v>0.9165280974</v>
      </c>
      <c r="M140" s="10">
        <f t="shared" si="114"/>
        <v>0.08857273695</v>
      </c>
      <c r="N140" s="10">
        <f t="shared" si="115"/>
        <v>0.08857273695</v>
      </c>
      <c r="O140" s="41" t="str">
        <f t="shared" si="116"/>
        <v>C3</v>
      </c>
      <c r="P140" s="42" t="str">
        <f t="shared" si="117"/>
        <v>NORMAL</v>
      </c>
      <c r="Q140" s="6" t="s">
        <v>49</v>
      </c>
      <c r="R140" s="8"/>
      <c r="S140" s="8"/>
      <c r="T140" s="8"/>
      <c r="U140" s="8"/>
      <c r="V140" s="8"/>
      <c r="W140" s="8"/>
      <c r="X140" s="8"/>
      <c r="Y140" s="8"/>
    </row>
    <row r="141">
      <c r="A141" s="10">
        <f t="shared" si="106"/>
        <v>1.03063317</v>
      </c>
      <c r="B141" s="10">
        <f t="shared" si="107"/>
        <v>1.03063317</v>
      </c>
      <c r="C141" s="10">
        <f t="shared" si="108"/>
        <v>1.03063317</v>
      </c>
      <c r="D141" s="10">
        <f t="shared" si="109"/>
        <v>1.03063317</v>
      </c>
      <c r="E141" s="41" t="str">
        <f t="shared" si="110"/>
        <v>C1</v>
      </c>
      <c r="F141" s="3" t="s">
        <v>69</v>
      </c>
      <c r="G141" s="40">
        <f t="shared" ref="G141:J141" si="118">SUM(G121,G123:G125,G134)/5</f>
        <v>0.3735858218</v>
      </c>
      <c r="H141" s="40">
        <f t="shared" si="118"/>
        <v>0.601891253</v>
      </c>
      <c r="I141" s="40">
        <f t="shared" si="118"/>
        <v>0.3208053691</v>
      </c>
      <c r="J141" s="40">
        <f t="shared" si="118"/>
        <v>0</v>
      </c>
      <c r="K141" s="10">
        <f t="shared" si="112"/>
        <v>0.7033021972</v>
      </c>
      <c r="L141" s="10">
        <f t="shared" si="113"/>
        <v>0.2985916643</v>
      </c>
      <c r="M141" s="10">
        <f t="shared" si="114"/>
        <v>1.057949955</v>
      </c>
      <c r="N141" s="10">
        <f t="shared" si="115"/>
        <v>0.2985916643</v>
      </c>
      <c r="O141" s="41" t="str">
        <f t="shared" si="116"/>
        <v>C2</v>
      </c>
      <c r="P141" s="44" t="str">
        <f t="shared" si="117"/>
        <v>ANOMALI</v>
      </c>
      <c r="Q141" s="21" t="s">
        <v>50</v>
      </c>
      <c r="R141" s="8"/>
      <c r="S141" s="8"/>
      <c r="T141" s="8"/>
      <c r="U141" s="8"/>
      <c r="V141" s="8"/>
      <c r="W141" s="8"/>
      <c r="X141" s="8"/>
      <c r="Y141" s="8"/>
    </row>
    <row r="142">
      <c r="A142" s="10">
        <f t="shared" si="106"/>
        <v>0.6907593009</v>
      </c>
      <c r="B142" s="10">
        <f t="shared" si="107"/>
        <v>0.6907593009</v>
      </c>
      <c r="C142" s="10">
        <f t="shared" si="108"/>
        <v>0.6907593009</v>
      </c>
      <c r="D142" s="10">
        <f t="shared" si="109"/>
        <v>0.6907593009</v>
      </c>
      <c r="E142" s="41" t="str">
        <f t="shared" si="110"/>
        <v>C1</v>
      </c>
      <c r="F142" s="8"/>
      <c r="G142" s="8"/>
      <c r="H142" s="8"/>
      <c r="I142" s="8"/>
      <c r="J142" s="8"/>
      <c r="K142" s="10">
        <f t="shared" si="112"/>
        <v>0.928427555</v>
      </c>
      <c r="L142" s="10">
        <f t="shared" si="113"/>
        <v>0.891451431</v>
      </c>
      <c r="M142" s="10">
        <f t="shared" si="114"/>
        <v>0.2388726949</v>
      </c>
      <c r="N142" s="10">
        <f t="shared" si="115"/>
        <v>0.2388726949</v>
      </c>
      <c r="O142" s="41" t="str">
        <f t="shared" si="116"/>
        <v>C3</v>
      </c>
      <c r="P142" s="42" t="str">
        <f t="shared" si="117"/>
        <v>NORMAL</v>
      </c>
      <c r="Q142" s="6" t="s">
        <v>49</v>
      </c>
      <c r="R142" s="8"/>
      <c r="S142" s="8"/>
      <c r="T142" s="8"/>
      <c r="U142" s="8"/>
      <c r="V142" s="8"/>
      <c r="W142" s="8"/>
      <c r="X142" s="8"/>
      <c r="Y142" s="8"/>
    </row>
    <row r="143">
      <c r="A143" s="10">
        <f t="shared" si="106"/>
        <v>0.6962250646</v>
      </c>
      <c r="B143" s="10">
        <f t="shared" si="107"/>
        <v>0.6962250646</v>
      </c>
      <c r="C143" s="10">
        <f t="shared" si="108"/>
        <v>0.6962250646</v>
      </c>
      <c r="D143" s="10">
        <f t="shared" si="109"/>
        <v>0.6962250646</v>
      </c>
      <c r="E143" s="41" t="str">
        <f t="shared" si="110"/>
        <v>C1</v>
      </c>
      <c r="F143" s="8"/>
      <c r="G143" s="8"/>
      <c r="H143" s="8"/>
      <c r="I143" s="8"/>
      <c r="J143" s="8"/>
      <c r="K143" s="10">
        <f t="shared" si="112"/>
        <v>0.9290012566</v>
      </c>
      <c r="L143" s="10">
        <f t="shared" si="113"/>
        <v>0.896968912</v>
      </c>
      <c r="M143" s="10">
        <f t="shared" si="114"/>
        <v>0.3051636277</v>
      </c>
      <c r="N143" s="10">
        <f t="shared" si="115"/>
        <v>0.3051636277</v>
      </c>
      <c r="O143" s="41" t="str">
        <f t="shared" si="116"/>
        <v>C3</v>
      </c>
      <c r="P143" s="42" t="str">
        <f t="shared" si="117"/>
        <v>NORMAL</v>
      </c>
      <c r="Q143" s="6" t="s">
        <v>49</v>
      </c>
      <c r="R143" s="8"/>
      <c r="S143" s="8"/>
      <c r="T143" s="8"/>
      <c r="U143" s="8"/>
      <c r="V143" s="8"/>
      <c r="W143" s="8"/>
      <c r="X143" s="8"/>
      <c r="Y143" s="8"/>
    </row>
    <row r="144">
      <c r="A144" s="10">
        <f t="shared" si="106"/>
        <v>1.374963175</v>
      </c>
      <c r="B144" s="10">
        <f t="shared" si="107"/>
        <v>1.374963175</v>
      </c>
      <c r="C144" s="10">
        <f t="shared" si="108"/>
        <v>1.374963175</v>
      </c>
      <c r="D144" s="10">
        <f t="shared" si="109"/>
        <v>1.374963175</v>
      </c>
      <c r="E144" s="41" t="str">
        <f t="shared" si="110"/>
        <v>C1</v>
      </c>
      <c r="F144" s="8"/>
      <c r="G144" s="8"/>
      <c r="H144" s="8"/>
      <c r="I144" s="8"/>
      <c r="J144" s="8"/>
      <c r="K144" s="10">
        <f t="shared" si="112"/>
        <v>1.303366876</v>
      </c>
      <c r="L144" s="10">
        <f t="shared" si="113"/>
        <v>1.362674053</v>
      </c>
      <c r="M144" s="10">
        <f t="shared" si="114"/>
        <v>0.7657735115</v>
      </c>
      <c r="N144" s="10">
        <f t="shared" si="115"/>
        <v>0.7657735115</v>
      </c>
      <c r="O144" s="41" t="str">
        <f t="shared" si="116"/>
        <v>C3</v>
      </c>
      <c r="P144" s="42" t="str">
        <f t="shared" si="117"/>
        <v>NORMAL</v>
      </c>
      <c r="Q144" s="24" t="s">
        <v>51</v>
      </c>
      <c r="R144" s="8"/>
      <c r="S144" s="8"/>
      <c r="T144" s="8"/>
      <c r="U144" s="8"/>
      <c r="V144" s="8"/>
      <c r="W144" s="8"/>
      <c r="X144" s="8"/>
      <c r="Y144" s="8"/>
    </row>
    <row r="145">
      <c r="A145" s="10">
        <f t="shared" si="106"/>
        <v>1.095545638</v>
      </c>
      <c r="B145" s="10">
        <f t="shared" si="107"/>
        <v>1.095545638</v>
      </c>
      <c r="C145" s="10">
        <f t="shared" si="108"/>
        <v>1.095545638</v>
      </c>
      <c r="D145" s="10">
        <f t="shared" si="109"/>
        <v>1.095545638</v>
      </c>
      <c r="E145" s="41" t="str">
        <f t="shared" si="110"/>
        <v>C1</v>
      </c>
      <c r="F145" s="8"/>
      <c r="G145" s="8"/>
      <c r="H145" s="8"/>
      <c r="I145" s="8"/>
      <c r="J145" s="8"/>
      <c r="K145" s="10">
        <f t="shared" si="112"/>
        <v>0.3484655147</v>
      </c>
      <c r="L145" s="10">
        <f t="shared" si="113"/>
        <v>0.2393013941</v>
      </c>
      <c r="M145" s="10">
        <f t="shared" si="114"/>
        <v>0.8499575766</v>
      </c>
      <c r="N145" s="10">
        <f t="shared" si="115"/>
        <v>0.2393013941</v>
      </c>
      <c r="O145" s="41" t="str">
        <f t="shared" si="116"/>
        <v>C2</v>
      </c>
      <c r="P145" s="44" t="str">
        <f t="shared" si="117"/>
        <v>ANOMALI</v>
      </c>
      <c r="Q145" s="6" t="s">
        <v>49</v>
      </c>
      <c r="R145" s="8"/>
      <c r="S145" s="8"/>
      <c r="T145" s="8"/>
      <c r="U145" s="8"/>
      <c r="V145" s="8"/>
      <c r="W145" s="8"/>
      <c r="X145" s="8"/>
      <c r="Y145" s="8"/>
    </row>
    <row r="146">
      <c r="A146" s="10">
        <f t="shared" si="106"/>
        <v>0.9579443741</v>
      </c>
      <c r="B146" s="10">
        <f t="shared" si="107"/>
        <v>0.9579443741</v>
      </c>
      <c r="C146" s="10">
        <f t="shared" si="108"/>
        <v>0.9579443741</v>
      </c>
      <c r="D146" s="10">
        <f t="shared" si="109"/>
        <v>0.9579443741</v>
      </c>
      <c r="E146" s="41" t="str">
        <f t="shared" si="110"/>
        <v>C1</v>
      </c>
      <c r="F146" s="8"/>
      <c r="G146" s="8"/>
      <c r="H146" s="8"/>
      <c r="I146" s="8"/>
      <c r="J146" s="8"/>
      <c r="K146" s="10">
        <f t="shared" si="112"/>
        <v>0.7751553947</v>
      </c>
      <c r="L146" s="10">
        <f t="shared" si="113"/>
        <v>0.3088071408</v>
      </c>
      <c r="M146" s="10">
        <f t="shared" si="114"/>
        <v>1.093141825</v>
      </c>
      <c r="N146" s="10">
        <f t="shared" si="115"/>
        <v>0.3088071408</v>
      </c>
      <c r="O146" s="41" t="str">
        <f t="shared" si="116"/>
        <v>C2</v>
      </c>
      <c r="P146" s="44" t="str">
        <f t="shared" si="117"/>
        <v>ANOMALI</v>
      </c>
      <c r="Q146" s="27" t="s">
        <v>52</v>
      </c>
      <c r="R146" s="8"/>
      <c r="S146" s="8"/>
      <c r="T146" s="8"/>
      <c r="U146" s="8"/>
      <c r="V146" s="8"/>
      <c r="W146" s="8"/>
      <c r="X146" s="8"/>
      <c r="Y146" s="8"/>
    </row>
    <row r="147">
      <c r="A147" s="10">
        <f t="shared" si="106"/>
        <v>1.538033324</v>
      </c>
      <c r="B147" s="10">
        <f t="shared" si="107"/>
        <v>1.538033324</v>
      </c>
      <c r="C147" s="10">
        <f t="shared" si="108"/>
        <v>1.538033324</v>
      </c>
      <c r="D147" s="10">
        <f t="shared" si="109"/>
        <v>1.538033324</v>
      </c>
      <c r="E147" s="41" t="str">
        <f t="shared" si="110"/>
        <v>C1</v>
      </c>
      <c r="F147" s="8"/>
      <c r="G147" s="8"/>
      <c r="H147" s="8"/>
      <c r="I147" s="8"/>
      <c r="J147" s="8"/>
      <c r="K147" s="10">
        <f t="shared" si="112"/>
        <v>0.3357257824</v>
      </c>
      <c r="L147" s="10">
        <f t="shared" si="113"/>
        <v>0.7186838445</v>
      </c>
      <c r="M147" s="10">
        <f t="shared" si="114"/>
        <v>1.214049868</v>
      </c>
      <c r="N147" s="10">
        <f t="shared" si="115"/>
        <v>0.3357257824</v>
      </c>
      <c r="O147" s="41" t="str">
        <f t="shared" si="116"/>
        <v>C1</v>
      </c>
      <c r="P147" s="43" t="str">
        <f t="shared" si="117"/>
        <v>WARNING</v>
      </c>
      <c r="Q147" s="6" t="s">
        <v>49</v>
      </c>
      <c r="R147" s="8"/>
      <c r="S147" s="8"/>
      <c r="T147" s="8"/>
      <c r="U147" s="8"/>
      <c r="V147" s="8"/>
      <c r="W147" s="8"/>
      <c r="X147" s="8"/>
      <c r="Y147" s="8"/>
    </row>
    <row r="148">
      <c r="A148" s="10">
        <f t="shared" si="106"/>
        <v>1.017297118</v>
      </c>
      <c r="B148" s="10">
        <f t="shared" si="107"/>
        <v>1.017297118</v>
      </c>
      <c r="C148" s="10">
        <f t="shared" si="108"/>
        <v>1.017297118</v>
      </c>
      <c r="D148" s="10">
        <f t="shared" si="109"/>
        <v>1.017297118</v>
      </c>
      <c r="E148" s="41" t="str">
        <f t="shared" si="110"/>
        <v>C1</v>
      </c>
      <c r="F148" s="8"/>
      <c r="G148" s="8"/>
      <c r="H148" s="8"/>
      <c r="I148" s="8"/>
      <c r="J148" s="8"/>
      <c r="K148" s="10">
        <f t="shared" si="112"/>
        <v>0.4810468708</v>
      </c>
      <c r="L148" s="10">
        <f t="shared" si="113"/>
        <v>0.2025891813</v>
      </c>
      <c r="M148" s="10">
        <f t="shared" si="114"/>
        <v>0.8272738182</v>
      </c>
      <c r="N148" s="10">
        <f t="shared" si="115"/>
        <v>0.2025891813</v>
      </c>
      <c r="O148" s="41" t="str">
        <f t="shared" si="116"/>
        <v>C2</v>
      </c>
      <c r="P148" s="44" t="str">
        <f t="shared" si="117"/>
        <v>ANOMALI</v>
      </c>
      <c r="Q148" s="6" t="s">
        <v>49</v>
      </c>
      <c r="R148" s="8"/>
      <c r="S148" s="8"/>
      <c r="T148" s="8"/>
      <c r="U148" s="8"/>
      <c r="V148" s="8"/>
      <c r="W148" s="8"/>
      <c r="X148" s="8"/>
      <c r="Y148" s="8"/>
    </row>
    <row r="149">
      <c r="A149" s="10">
        <f t="shared" si="106"/>
        <v>1.727239753</v>
      </c>
      <c r="B149" s="10">
        <f t="shared" si="107"/>
        <v>1.727239753</v>
      </c>
      <c r="C149" s="10">
        <f t="shared" si="108"/>
        <v>1.727239753</v>
      </c>
      <c r="D149" s="10">
        <f t="shared" si="109"/>
        <v>1.727239753</v>
      </c>
      <c r="E149" s="41" t="str">
        <f t="shared" si="110"/>
        <v>C1</v>
      </c>
      <c r="F149" s="8"/>
      <c r="G149" s="8"/>
      <c r="H149" s="8"/>
      <c r="I149" s="8"/>
      <c r="J149" s="8"/>
      <c r="K149" s="10">
        <f t="shared" si="112"/>
        <v>0.6525768428</v>
      </c>
      <c r="L149" s="10">
        <f t="shared" si="113"/>
        <v>0.9886202765</v>
      </c>
      <c r="M149" s="10">
        <f t="shared" si="114"/>
        <v>1.189786994</v>
      </c>
      <c r="N149" s="10">
        <f t="shared" si="115"/>
        <v>0.6525768428</v>
      </c>
      <c r="O149" s="41" t="str">
        <f t="shared" si="116"/>
        <v>C1</v>
      </c>
      <c r="P149" s="43" t="str">
        <f t="shared" si="117"/>
        <v>WARNING</v>
      </c>
      <c r="Q149" s="24" t="s">
        <v>51</v>
      </c>
      <c r="R149" s="8"/>
      <c r="S149" s="8"/>
      <c r="T149" s="8"/>
      <c r="U149" s="8"/>
      <c r="V149" s="8"/>
      <c r="W149" s="8"/>
      <c r="X149" s="8"/>
      <c r="Y149" s="8"/>
    </row>
    <row r="150">
      <c r="A150" s="10">
        <f t="shared" si="106"/>
        <v>1.134934335</v>
      </c>
      <c r="B150" s="10">
        <f t="shared" si="107"/>
        <v>1.134934335</v>
      </c>
      <c r="C150" s="10">
        <f t="shared" si="108"/>
        <v>1.134934335</v>
      </c>
      <c r="D150" s="10">
        <f t="shared" si="109"/>
        <v>1.134934335</v>
      </c>
      <c r="E150" s="41" t="str">
        <f t="shared" si="110"/>
        <v>C1</v>
      </c>
      <c r="F150" s="8"/>
      <c r="G150" s="8"/>
      <c r="H150" s="8"/>
      <c r="I150" s="8"/>
      <c r="J150" s="8"/>
      <c r="K150" s="10">
        <f t="shared" si="112"/>
        <v>0.2471822526</v>
      </c>
      <c r="L150" s="10">
        <f t="shared" si="113"/>
        <v>0.4017145902</v>
      </c>
      <c r="M150" s="10">
        <f t="shared" si="114"/>
        <v>0.8272660539</v>
      </c>
      <c r="N150" s="10">
        <f t="shared" si="115"/>
        <v>0.2471822526</v>
      </c>
      <c r="O150" s="41" t="str">
        <f t="shared" si="116"/>
        <v>C1</v>
      </c>
      <c r="P150" s="43" t="str">
        <f t="shared" si="117"/>
        <v>WARNING</v>
      </c>
      <c r="Q150" s="30" t="s">
        <v>54</v>
      </c>
      <c r="R150" s="8"/>
      <c r="S150" s="8"/>
      <c r="T150" s="8"/>
      <c r="U150" s="8"/>
      <c r="V150" s="8"/>
      <c r="W150" s="8"/>
      <c r="X150" s="8"/>
      <c r="Y150" s="8"/>
    </row>
    <row r="151">
      <c r="A151" s="10">
        <f t="shared" si="106"/>
        <v>1.169771258</v>
      </c>
      <c r="B151" s="10">
        <f t="shared" si="107"/>
        <v>1.169771258</v>
      </c>
      <c r="C151" s="10">
        <f t="shared" si="108"/>
        <v>1.169771258</v>
      </c>
      <c r="D151" s="10">
        <f t="shared" si="109"/>
        <v>1.169771258</v>
      </c>
      <c r="E151" s="41" t="str">
        <f t="shared" si="110"/>
        <v>C1</v>
      </c>
      <c r="F151" s="8"/>
      <c r="G151" s="8"/>
      <c r="H151" s="8"/>
      <c r="I151" s="8"/>
      <c r="J151" s="8"/>
      <c r="K151" s="10">
        <f t="shared" si="112"/>
        <v>0.3022273036</v>
      </c>
      <c r="L151" s="10">
        <f t="shared" si="113"/>
        <v>0.5584089078</v>
      </c>
      <c r="M151" s="10">
        <f t="shared" si="114"/>
        <v>0.8004856034</v>
      </c>
      <c r="N151" s="10">
        <f t="shared" si="115"/>
        <v>0.3022273036</v>
      </c>
      <c r="O151" s="41" t="str">
        <f t="shared" si="116"/>
        <v>C1</v>
      </c>
      <c r="P151" s="43" t="str">
        <f t="shared" si="117"/>
        <v>WARNING</v>
      </c>
      <c r="Q151" s="30" t="s">
        <v>54</v>
      </c>
      <c r="R151" s="8"/>
      <c r="S151" s="8"/>
      <c r="T151" s="8"/>
      <c r="U151" s="8"/>
      <c r="V151" s="8"/>
      <c r="W151" s="8"/>
      <c r="X151" s="8"/>
      <c r="Y151" s="8"/>
    </row>
    <row r="152">
      <c r="A152" s="10">
        <f t="shared" si="106"/>
        <v>1.230340305</v>
      </c>
      <c r="B152" s="10">
        <f t="shared" si="107"/>
        <v>1.230340305</v>
      </c>
      <c r="C152" s="10">
        <f t="shared" si="108"/>
        <v>1.230340305</v>
      </c>
      <c r="D152" s="10">
        <f t="shared" si="109"/>
        <v>1.230340305</v>
      </c>
      <c r="E152" s="41" t="str">
        <f t="shared" si="110"/>
        <v>C1</v>
      </c>
      <c r="F152" s="8"/>
      <c r="G152" s="8"/>
      <c r="H152" s="8"/>
      <c r="I152" s="8"/>
      <c r="J152" s="8"/>
      <c r="K152" s="10">
        <f t="shared" si="112"/>
        <v>0.1970576298</v>
      </c>
      <c r="L152" s="10">
        <f t="shared" si="113"/>
        <v>0.3689770888</v>
      </c>
      <c r="M152" s="10">
        <f t="shared" si="114"/>
        <v>0.9393356788</v>
      </c>
      <c r="N152" s="10">
        <f t="shared" si="115"/>
        <v>0.1970576298</v>
      </c>
      <c r="O152" s="41" t="str">
        <f t="shared" si="116"/>
        <v>C1</v>
      </c>
      <c r="P152" s="43" t="str">
        <f t="shared" si="117"/>
        <v>WARNING</v>
      </c>
      <c r="Q152" s="6" t="s">
        <v>49</v>
      </c>
      <c r="R152" s="8"/>
      <c r="S152" s="8"/>
      <c r="T152" s="8"/>
      <c r="U152" s="8"/>
      <c r="V152" s="8"/>
      <c r="W152" s="8"/>
      <c r="X152" s="8"/>
      <c r="Y152" s="8"/>
    </row>
    <row r="153">
      <c r="A153" s="10">
        <f t="shared" si="106"/>
        <v>0.6722611773</v>
      </c>
      <c r="B153" s="10">
        <f t="shared" si="107"/>
        <v>0.6722611773</v>
      </c>
      <c r="C153" s="10">
        <f t="shared" si="108"/>
        <v>0.6722611773</v>
      </c>
      <c r="D153" s="10">
        <f t="shared" si="109"/>
        <v>0.6722611773</v>
      </c>
      <c r="E153" s="41" t="str">
        <f t="shared" si="110"/>
        <v>C1</v>
      </c>
      <c r="F153" s="8"/>
      <c r="G153" s="8"/>
      <c r="H153" s="8"/>
      <c r="I153" s="8"/>
      <c r="J153" s="8"/>
      <c r="K153" s="10">
        <f t="shared" si="112"/>
        <v>0.9369085899</v>
      </c>
      <c r="L153" s="10">
        <f t="shared" si="113"/>
        <v>0.8849455363</v>
      </c>
      <c r="M153" s="10">
        <f t="shared" si="114"/>
        <v>0.1925663692</v>
      </c>
      <c r="N153" s="10">
        <f t="shared" si="115"/>
        <v>0.1925663692</v>
      </c>
      <c r="O153" s="41" t="str">
        <f t="shared" si="116"/>
        <v>C3</v>
      </c>
      <c r="P153" s="42" t="str">
        <f t="shared" si="117"/>
        <v>NORMAL</v>
      </c>
      <c r="Q153" s="6" t="s">
        <v>49</v>
      </c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7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7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7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 t="s">
        <v>48</v>
      </c>
      <c r="B157" s="8" t="s">
        <v>74</v>
      </c>
      <c r="C157" s="8" t="s">
        <v>75</v>
      </c>
      <c r="D157" s="8" t="s">
        <v>76</v>
      </c>
      <c r="E157" s="8" t="s">
        <v>77</v>
      </c>
      <c r="F157" s="3" t="s">
        <v>2</v>
      </c>
      <c r="G157" s="8" t="s">
        <v>4</v>
      </c>
      <c r="H157" s="8" t="s">
        <v>5</v>
      </c>
      <c r="I157" s="8" t="s">
        <v>7</v>
      </c>
      <c r="J157" s="8" t="s">
        <v>10</v>
      </c>
      <c r="K157" s="7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 t="s">
        <v>49</v>
      </c>
      <c r="B158" s="8" t="s">
        <v>78</v>
      </c>
      <c r="C158" s="8" t="s">
        <v>78</v>
      </c>
      <c r="D158" s="33" t="s">
        <v>79</v>
      </c>
      <c r="E158" s="33" t="s">
        <v>79</v>
      </c>
      <c r="F158" s="10">
        <v>18.0</v>
      </c>
      <c r="G158" s="40">
        <v>76.54</v>
      </c>
      <c r="H158" s="40">
        <v>4.88</v>
      </c>
      <c r="I158" s="40">
        <v>33.93</v>
      </c>
      <c r="J158" s="40">
        <v>1363.7</v>
      </c>
      <c r="K158" s="7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 t="s">
        <v>49</v>
      </c>
      <c r="B159" s="8" t="s">
        <v>78</v>
      </c>
      <c r="C159" s="8" t="s">
        <v>78</v>
      </c>
      <c r="D159" s="8" t="s">
        <v>78</v>
      </c>
      <c r="E159" s="8" t="s">
        <v>78</v>
      </c>
      <c r="F159" s="10">
        <v>37.0</v>
      </c>
      <c r="G159" s="40">
        <v>73.02</v>
      </c>
      <c r="H159" s="40">
        <v>4.71</v>
      </c>
      <c r="I159" s="40">
        <v>30.56</v>
      </c>
      <c r="J159" s="40">
        <v>0.0</v>
      </c>
      <c r="K159" s="7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20" t="s">
        <v>50</v>
      </c>
      <c r="B160" s="8" t="s">
        <v>78</v>
      </c>
      <c r="C160" s="8" t="s">
        <v>78</v>
      </c>
      <c r="D160" s="20" t="s">
        <v>80</v>
      </c>
      <c r="E160" s="20" t="s">
        <v>80</v>
      </c>
      <c r="F160" s="10">
        <v>43.0</v>
      </c>
      <c r="G160" s="40">
        <v>77.21</v>
      </c>
      <c r="H160" s="40">
        <v>2.26</v>
      </c>
      <c r="I160" s="40">
        <v>31.22</v>
      </c>
      <c r="J160" s="40">
        <v>1366.1</v>
      </c>
      <c r="K160" s="7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 t="s">
        <v>49</v>
      </c>
      <c r="B161" s="8" t="s">
        <v>78</v>
      </c>
      <c r="C161" s="8" t="s">
        <v>78</v>
      </c>
      <c r="D161" s="8" t="s">
        <v>78</v>
      </c>
      <c r="E161" s="8" t="s">
        <v>78</v>
      </c>
      <c r="F161" s="10">
        <v>3.0</v>
      </c>
      <c r="G161" s="40">
        <v>68.86</v>
      </c>
      <c r="H161" s="40">
        <v>4.31</v>
      </c>
      <c r="I161" s="40">
        <v>31.64</v>
      </c>
      <c r="J161" s="40">
        <v>0.0</v>
      </c>
      <c r="K161" s="7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 t="s">
        <v>49</v>
      </c>
      <c r="B162" s="8" t="s">
        <v>78</v>
      </c>
      <c r="C162" s="8" t="s">
        <v>78</v>
      </c>
      <c r="D162" s="8" t="s">
        <v>78</v>
      </c>
      <c r="E162" s="8" t="s">
        <v>78</v>
      </c>
      <c r="F162" s="10">
        <v>13.0</v>
      </c>
      <c r="G162" s="40">
        <v>67.04</v>
      </c>
      <c r="H162" s="40">
        <v>4.22</v>
      </c>
      <c r="I162" s="40">
        <v>31.92</v>
      </c>
      <c r="J162" s="40">
        <v>0.0</v>
      </c>
      <c r="K162" s="7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20" t="s">
        <v>51</v>
      </c>
      <c r="B163" s="20" t="s">
        <v>80</v>
      </c>
      <c r="C163" s="20" t="s">
        <v>80</v>
      </c>
      <c r="D163" s="8" t="s">
        <v>78</v>
      </c>
      <c r="E163" s="8" t="s">
        <v>78</v>
      </c>
      <c r="F163" s="10">
        <v>43.0</v>
      </c>
      <c r="G163" s="40">
        <v>99.18</v>
      </c>
      <c r="H163" s="40">
        <v>6.49</v>
      </c>
      <c r="I163" s="40">
        <v>28.98</v>
      </c>
      <c r="J163" s="40">
        <v>0.0</v>
      </c>
      <c r="K163" s="7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 t="s">
        <v>49</v>
      </c>
      <c r="B164" s="8" t="s">
        <v>78</v>
      </c>
      <c r="C164" s="8" t="s">
        <v>78</v>
      </c>
      <c r="D164" s="20" t="s">
        <v>80</v>
      </c>
      <c r="E164" s="8" t="s">
        <v>78</v>
      </c>
      <c r="F164" s="10">
        <v>25.0</v>
      </c>
      <c r="G164" s="40">
        <v>73.58</v>
      </c>
      <c r="H164" s="40">
        <v>4.28</v>
      </c>
      <c r="I164" s="40">
        <v>31.46</v>
      </c>
      <c r="J164" s="40">
        <v>1313.0</v>
      </c>
      <c r="K164" s="7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20" t="s">
        <v>52</v>
      </c>
      <c r="B165" s="8" t="s">
        <v>78</v>
      </c>
      <c r="C165" s="8" t="s">
        <v>78</v>
      </c>
      <c r="D165" s="20" t="s">
        <v>80</v>
      </c>
      <c r="E165" s="20" t="s">
        <v>80</v>
      </c>
      <c r="F165" s="10">
        <v>35.0</v>
      </c>
      <c r="G165" s="40">
        <v>60.31</v>
      </c>
      <c r="H165" s="40">
        <v>2.76</v>
      </c>
      <c r="I165" s="40">
        <v>30.7</v>
      </c>
      <c r="J165" s="40">
        <v>1426.3</v>
      </c>
      <c r="K165" s="7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 t="s">
        <v>49</v>
      </c>
      <c r="B166" s="8" t="s">
        <v>78</v>
      </c>
      <c r="C166" s="8" t="s">
        <v>78</v>
      </c>
      <c r="D166" s="33" t="s">
        <v>79</v>
      </c>
      <c r="E166" s="33" t="s">
        <v>79</v>
      </c>
      <c r="F166" s="10">
        <v>43.0</v>
      </c>
      <c r="G166" s="40">
        <v>74.8</v>
      </c>
      <c r="H166" s="40">
        <v>4.34</v>
      </c>
      <c r="I166" s="40">
        <v>34.94</v>
      </c>
      <c r="J166" s="40">
        <v>1574.7</v>
      </c>
      <c r="K166" s="7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 t="s">
        <v>49</v>
      </c>
      <c r="B167" s="8" t="s">
        <v>78</v>
      </c>
      <c r="C167" s="8" t="s">
        <v>78</v>
      </c>
      <c r="D167" s="20" t="s">
        <v>80</v>
      </c>
      <c r="E167" s="8" t="s">
        <v>78</v>
      </c>
      <c r="F167" s="10">
        <v>28.0</v>
      </c>
      <c r="G167" s="40">
        <v>73.8</v>
      </c>
      <c r="H167" s="40">
        <v>4.11</v>
      </c>
      <c r="I167" s="40">
        <v>30.69</v>
      </c>
      <c r="J167" s="40">
        <v>1273.5</v>
      </c>
      <c r="K167" s="7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20" t="s">
        <v>51</v>
      </c>
      <c r="B168" s="20" t="s">
        <v>80</v>
      </c>
      <c r="C168" s="20" t="s">
        <v>80</v>
      </c>
      <c r="D168" s="33" t="s">
        <v>79</v>
      </c>
      <c r="E168" s="33" t="s">
        <v>79</v>
      </c>
      <c r="F168" s="10">
        <v>41.0</v>
      </c>
      <c r="G168" s="40">
        <v>101.5</v>
      </c>
      <c r="H168" s="40">
        <v>5.85</v>
      </c>
      <c r="I168" s="40">
        <v>32.73</v>
      </c>
      <c r="J168" s="40">
        <v>1466.4</v>
      </c>
      <c r="K168" s="7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20" t="s">
        <v>54</v>
      </c>
      <c r="B169" s="8" t="s">
        <v>78</v>
      </c>
      <c r="C169" s="8" t="s">
        <v>78</v>
      </c>
      <c r="D169" s="33" t="s">
        <v>79</v>
      </c>
      <c r="E169" s="8" t="s">
        <v>78</v>
      </c>
      <c r="F169" s="10">
        <v>30.0</v>
      </c>
      <c r="G169" s="40">
        <v>69.52</v>
      </c>
      <c r="H169" s="40">
        <v>4.55</v>
      </c>
      <c r="I169" s="40">
        <v>32.6</v>
      </c>
      <c r="J169" s="40">
        <v>1195.2</v>
      </c>
      <c r="K169" s="7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20" t="s">
        <v>54</v>
      </c>
      <c r="B170" s="8" t="s">
        <v>78</v>
      </c>
      <c r="C170" s="8" t="s">
        <v>78</v>
      </c>
      <c r="D170" s="33" t="s">
        <v>79</v>
      </c>
      <c r="E170" s="8" t="s">
        <v>78</v>
      </c>
      <c r="F170" s="10">
        <v>24.0</v>
      </c>
      <c r="G170" s="40">
        <v>67.2</v>
      </c>
      <c r="H170" s="40">
        <v>4.91</v>
      </c>
      <c r="I170" s="40">
        <v>33.19</v>
      </c>
      <c r="J170" s="40">
        <v>1055.1</v>
      </c>
      <c r="K170" s="7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 t="s">
        <v>49</v>
      </c>
      <c r="B171" s="8" t="s">
        <v>78</v>
      </c>
      <c r="C171" s="8" t="s">
        <v>78</v>
      </c>
      <c r="D171" s="33" t="s">
        <v>79</v>
      </c>
      <c r="E171" s="8" t="s">
        <v>78</v>
      </c>
      <c r="F171" s="10">
        <v>1.0</v>
      </c>
      <c r="G171" s="40">
        <v>72.64</v>
      </c>
      <c r="H171" s="40">
        <v>4.49</v>
      </c>
      <c r="I171" s="40">
        <v>32.49</v>
      </c>
      <c r="J171" s="40">
        <v>1407.9</v>
      </c>
      <c r="K171" s="7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 t="s">
        <v>49</v>
      </c>
      <c r="B172" s="8" t="s">
        <v>78</v>
      </c>
      <c r="C172" s="8" t="s">
        <v>78</v>
      </c>
      <c r="D172" s="8" t="s">
        <v>78</v>
      </c>
      <c r="E172" s="8" t="s">
        <v>78</v>
      </c>
      <c r="F172" s="10">
        <v>15.0</v>
      </c>
      <c r="G172" s="40">
        <v>70.39</v>
      </c>
      <c r="H172" s="40">
        <v>4.3</v>
      </c>
      <c r="I172" s="40">
        <v>31.36</v>
      </c>
      <c r="J172" s="40">
        <v>0.0</v>
      </c>
      <c r="K172" s="7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7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7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7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7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7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72.5"/>
    <col customWidth="1" min="3" max="3" width="83.75"/>
  </cols>
  <sheetData>
    <row r="1">
      <c r="A1" s="2" t="s">
        <v>1</v>
      </c>
    </row>
    <row r="2">
      <c r="A2" s="4" t="s">
        <v>3</v>
      </c>
      <c r="B2" s="5"/>
      <c r="C2" s="5"/>
    </row>
    <row r="3">
      <c r="A3" s="4" t="s">
        <v>6</v>
      </c>
      <c r="B3" s="4" t="s">
        <v>8</v>
      </c>
      <c r="C3" s="4" t="s">
        <v>9</v>
      </c>
    </row>
    <row r="4">
      <c r="A4" s="4" t="s">
        <v>11</v>
      </c>
      <c r="B4" s="4" t="s">
        <v>13</v>
      </c>
      <c r="C4" s="4" t="s">
        <v>14</v>
      </c>
    </row>
    <row r="5">
      <c r="A5" s="4" t="s">
        <v>15</v>
      </c>
      <c r="B5" s="4" t="s">
        <v>17</v>
      </c>
      <c r="C5" s="4" t="s">
        <v>18</v>
      </c>
    </row>
    <row r="6">
      <c r="A6" s="4" t="s">
        <v>20</v>
      </c>
      <c r="B6" s="4" t="s">
        <v>22</v>
      </c>
      <c r="C6" s="4" t="s">
        <v>23</v>
      </c>
    </row>
    <row r="7">
      <c r="A7" s="4" t="s">
        <v>25</v>
      </c>
      <c r="B7" s="4" t="s">
        <v>26</v>
      </c>
      <c r="C7" s="4" t="s">
        <v>27</v>
      </c>
    </row>
    <row r="8">
      <c r="A8" s="4" t="s">
        <v>28</v>
      </c>
      <c r="B8" s="4" t="s">
        <v>29</v>
      </c>
      <c r="C8" s="4" t="s">
        <v>30</v>
      </c>
    </row>
    <row r="9">
      <c r="A9" s="4" t="s">
        <v>31</v>
      </c>
      <c r="B9" s="5"/>
      <c r="C9" s="5"/>
    </row>
    <row r="10">
      <c r="A10" s="4" t="s">
        <v>6</v>
      </c>
      <c r="B10" s="4" t="s">
        <v>8</v>
      </c>
      <c r="C10" s="4" t="s">
        <v>9</v>
      </c>
    </row>
    <row r="11">
      <c r="A11" s="4" t="s">
        <v>32</v>
      </c>
      <c r="B11" s="4" t="s">
        <v>33</v>
      </c>
      <c r="C11" s="4" t="s">
        <v>34</v>
      </c>
    </row>
    <row r="12">
      <c r="A12" s="4" t="s">
        <v>35</v>
      </c>
      <c r="B12" s="4" t="s">
        <v>36</v>
      </c>
      <c r="C12" s="4" t="s">
        <v>37</v>
      </c>
    </row>
    <row r="13">
      <c r="A13" s="4" t="s">
        <v>38</v>
      </c>
      <c r="B13" s="4" t="s">
        <v>39</v>
      </c>
      <c r="C13" s="4" t="s">
        <v>40</v>
      </c>
    </row>
    <row r="14">
      <c r="A14" s="4" t="s">
        <v>41</v>
      </c>
      <c r="B14" s="4" t="s">
        <v>42</v>
      </c>
      <c r="C14" s="4" t="s">
        <v>43</v>
      </c>
    </row>
  </sheetData>
  <drawing r:id="rId1"/>
</worksheet>
</file>